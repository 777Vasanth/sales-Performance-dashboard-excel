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vasan\OneDrive\Documents\IDM DATA ANALYTICS\sales dashboard\"/>
    </mc:Choice>
  </mc:AlternateContent>
  <xr:revisionPtr revIDLastSave="0" documentId="13_ncr:1_{BFBAAAB0-8E60-4BC3-9272-F9C97A876675}" xr6:coauthVersionLast="47" xr6:coauthVersionMax="47" xr10:uidLastSave="{00000000-0000-0000-0000-000000000000}"/>
  <bookViews>
    <workbookView xWindow="-108" yWindow="-108" windowWidth="23256" windowHeight="12456" firstSheet="2" activeTab="8" xr2:uid="{0D809E4B-066D-4526-8EF3-18D973CF0373}"/>
  </bookViews>
  <sheets>
    <sheet name="Detail1" sheetId="9" r:id="rId1"/>
    <sheet name="Sheet2" sheetId="3" r:id="rId2"/>
    <sheet name="Sheet3" sheetId="4" r:id="rId3"/>
    <sheet name="Sheet4" sheetId="5" r:id="rId4"/>
    <sheet name="Sheet5" sheetId="6" r:id="rId5"/>
    <sheet name="Sheet6" sheetId="7" r:id="rId6"/>
    <sheet name="Orders" sheetId="2" r:id="rId7"/>
    <sheet name="Sheet7" sheetId="8" r:id="rId8"/>
    <sheet name="Sheet1" sheetId="1" r:id="rId9"/>
  </sheets>
  <definedNames>
    <definedName name="ExternalData_1" localSheetId="6" hidden="1">Orders!$A$1:$AA$401</definedName>
    <definedName name="NativeTimeline_Order_Date">#N/A</definedName>
    <definedName name="Slicer_Category">#N/A</definedName>
    <definedName name="Slicer_City">#N/A</definedName>
    <definedName name="Slicer_Customer_Segment">#N/A</definedName>
    <definedName name="Slicer_Gender">#N/A</definedName>
    <definedName name="Slicer_Payment_Mode">#N/A</definedName>
    <definedName name="Slicer_Stat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B8" i="3"/>
  <c r="B21" i="3"/>
  <c r="C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EF0E8-E225-46E8-945F-39CC50D526A7}"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9577F292-B398-420E-81A1-ABBB7BA6D26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D55DE839-934F-4686-B34B-AB583E4273E8}"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4" xr16:uid="{8897D04D-8B5F-48FB-B049-0F03B3A5859A}" keepAlive="1" name="Query - Sales_Summary" description="Connection to the 'Sales_Summary' query in the workbook." type="5" refreshedVersion="0" background="1">
    <dbPr connection="Provider=Microsoft.Mashup.OleDb.1;Data Source=$Workbook$;Location=Sales_Summary;Extended Properties=&quot;&quot;" command="SELECT * FROM [Sales_Summary]"/>
  </connection>
</connections>
</file>

<file path=xl/sharedStrings.xml><?xml version="1.0" encoding="utf-8"?>
<sst xmlns="http://schemas.openxmlformats.org/spreadsheetml/2006/main" count="10517" uniqueCount="984">
  <si>
    <t>Order_ID</t>
  </si>
  <si>
    <t>Order_Date</t>
  </si>
  <si>
    <t>Customer_ID</t>
  </si>
  <si>
    <t>Product_ID</t>
  </si>
  <si>
    <t>Quantity</t>
  </si>
  <si>
    <t>Payment_Mode</t>
  </si>
  <si>
    <t>Discount_Percentage</t>
  </si>
  <si>
    <t>Customer_name</t>
  </si>
  <si>
    <t>Gender</t>
  </si>
  <si>
    <t>Age</t>
  </si>
  <si>
    <t>City</t>
  </si>
  <si>
    <t>State</t>
  </si>
  <si>
    <t>Join_Date</t>
  </si>
  <si>
    <t>Customer_Segment</t>
  </si>
  <si>
    <t>Product_Name</t>
  </si>
  <si>
    <t>Category</t>
  </si>
  <si>
    <t>Brand</t>
  </si>
  <si>
    <t>Cost_Price</t>
  </si>
  <si>
    <t>Selling_Price</t>
  </si>
  <si>
    <t>Stock_Quantity</t>
  </si>
  <si>
    <t>Total_Amount</t>
  </si>
  <si>
    <t>Discount_Amount</t>
  </si>
  <si>
    <t>Final_Sales</t>
  </si>
  <si>
    <t>Profit</t>
  </si>
  <si>
    <t>Sales_Region</t>
  </si>
  <si>
    <t>ORD00001</t>
  </si>
  <si>
    <t>CUST0183</t>
  </si>
  <si>
    <t>PROD0004</t>
  </si>
  <si>
    <t>Upi</t>
  </si>
  <si>
    <t>Customer_183</t>
  </si>
  <si>
    <t>Male</t>
  </si>
  <si>
    <t>Kolkata</t>
  </si>
  <si>
    <t>Karnataka</t>
  </si>
  <si>
    <t>Corporate</t>
  </si>
  <si>
    <t>Product_4</t>
  </si>
  <si>
    <t>Furniture</t>
  </si>
  <si>
    <t>Brandc</t>
  </si>
  <si>
    <t>East</t>
  </si>
  <si>
    <t>ORD00020</t>
  </si>
  <si>
    <t>CUST0001</t>
  </si>
  <si>
    <t>PROD0024</t>
  </si>
  <si>
    <t>Customer_1</t>
  </si>
  <si>
    <t>Hyderabad</t>
  </si>
  <si>
    <t>Telangana</t>
  </si>
  <si>
    <t>Retail</t>
  </si>
  <si>
    <t>Product_24</t>
  </si>
  <si>
    <t>Branda</t>
  </si>
  <si>
    <t>South</t>
  </si>
  <si>
    <t>ORD00002</t>
  </si>
  <si>
    <t>CUST0020</t>
  </si>
  <si>
    <t>PROD0017</t>
  </si>
  <si>
    <t>Net Banking</t>
  </si>
  <si>
    <t>Customer_20</t>
  </si>
  <si>
    <t>Delhi</t>
  </si>
  <si>
    <t>Wholesale</t>
  </si>
  <si>
    <t>Product_17</t>
  </si>
  <si>
    <t>West</t>
  </si>
  <si>
    <t>ORD00015</t>
  </si>
  <si>
    <t>CUST0174</t>
  </si>
  <si>
    <t>Customer_174</t>
  </si>
  <si>
    <t>Coimbatore</t>
  </si>
  <si>
    <t>ORD00003</t>
  </si>
  <si>
    <t>CUST0004</t>
  </si>
  <si>
    <t>PROD0008</t>
  </si>
  <si>
    <t>Customer_4</t>
  </si>
  <si>
    <t>Mumbai</t>
  </si>
  <si>
    <t>Tamil Nadu</t>
  </si>
  <si>
    <t>Product_8</t>
  </si>
  <si>
    <t>Grocery</t>
  </si>
  <si>
    <t>ORD00156</t>
  </si>
  <si>
    <t>CUST0193</t>
  </si>
  <si>
    <t>PROD0002</t>
  </si>
  <si>
    <t>Customer_193</t>
  </si>
  <si>
    <t>Chennai</t>
  </si>
  <si>
    <t>Product_2</t>
  </si>
  <si>
    <t>ORD00004</t>
  </si>
  <si>
    <t>CUST0149</t>
  </si>
  <si>
    <t>PROD0051</t>
  </si>
  <si>
    <t>Cash</t>
  </si>
  <si>
    <t>Customer_149</t>
  </si>
  <si>
    <t>Female</t>
  </si>
  <si>
    <t>Maharashtra</t>
  </si>
  <si>
    <t>Product_51</t>
  </si>
  <si>
    <t>North</t>
  </si>
  <si>
    <t>ORD00011</t>
  </si>
  <si>
    <t>CUST0155</t>
  </si>
  <si>
    <t>Customer_155</t>
  </si>
  <si>
    <t>ORD00005</t>
  </si>
  <si>
    <t>CUST0067</t>
  </si>
  <si>
    <t>PROD0018</t>
  </si>
  <si>
    <t>Card</t>
  </si>
  <si>
    <t>Customer_67</t>
  </si>
  <si>
    <t>Salem</t>
  </si>
  <si>
    <t>Product_18</t>
  </si>
  <si>
    <t>Electronics</t>
  </si>
  <si>
    <t>ORD00048</t>
  </si>
  <si>
    <t>ORD00006</t>
  </si>
  <si>
    <t>CUST0111</t>
  </si>
  <si>
    <t>PROD0048</t>
  </si>
  <si>
    <t>Customer_111</t>
  </si>
  <si>
    <t>Product_48</t>
  </si>
  <si>
    <t>ORD00106</t>
  </si>
  <si>
    <t>PROD0025</t>
  </si>
  <si>
    <t>Product_25</t>
  </si>
  <si>
    <t>ORD00007</t>
  </si>
  <si>
    <t>CUST0098</t>
  </si>
  <si>
    <t>PROD0044</t>
  </si>
  <si>
    <t>Customer_98</t>
  </si>
  <si>
    <t>West Bengal</t>
  </si>
  <si>
    <t>Product_44</t>
  </si>
  <si>
    <t>Clothing</t>
  </si>
  <si>
    <t>Brandd</t>
  </si>
  <si>
    <t>ORD00042</t>
  </si>
  <si>
    <t>CUST0014</t>
  </si>
  <si>
    <t>Customer_14</t>
  </si>
  <si>
    <t>ORD00008</t>
  </si>
  <si>
    <t>CUST0178</t>
  </si>
  <si>
    <t>PROD0023</t>
  </si>
  <si>
    <t>Customer_178</t>
  </si>
  <si>
    <t>Product_23</t>
  </si>
  <si>
    <t>Brandb</t>
  </si>
  <si>
    <t>ORD00009</t>
  </si>
  <si>
    <t>PROD0058</t>
  </si>
  <si>
    <t>Product_58</t>
  </si>
  <si>
    <t>ORD00124</t>
  </si>
  <si>
    <t>PROD0014</t>
  </si>
  <si>
    <t>Product_14</t>
  </si>
  <si>
    <t>ORD00010</t>
  </si>
  <si>
    <t>CUST0119</t>
  </si>
  <si>
    <t>PROD0060</t>
  </si>
  <si>
    <t>Customer_119</t>
  </si>
  <si>
    <t>Product_60</t>
  </si>
  <si>
    <t>ORD00187</t>
  </si>
  <si>
    <t>CUST0002</t>
  </si>
  <si>
    <t>PROD0005</t>
  </si>
  <si>
    <t>Customer_2</t>
  </si>
  <si>
    <t>Product_5</t>
  </si>
  <si>
    <t>ORD00131</t>
  </si>
  <si>
    <t>CUST0007</t>
  </si>
  <si>
    <t>Customer_7</t>
  </si>
  <si>
    <t>ORD00012</t>
  </si>
  <si>
    <t>CUST0207</t>
  </si>
  <si>
    <t>PROD0031</t>
  </si>
  <si>
    <t>Customer_207</t>
  </si>
  <si>
    <t>Product_31</t>
  </si>
  <si>
    <t>ORD00059</t>
  </si>
  <si>
    <t>PROD0037</t>
  </si>
  <si>
    <t>Product_37</t>
  </si>
  <si>
    <t>ORD00013</t>
  </si>
  <si>
    <t>CUST0089</t>
  </si>
  <si>
    <t>Customer_89</t>
  </si>
  <si>
    <t>ORD00014</t>
  </si>
  <si>
    <t>CUST0043</t>
  </si>
  <si>
    <t>PROD0027</t>
  </si>
  <si>
    <t>Customer_43</t>
  </si>
  <si>
    <t>Bangalore</t>
  </si>
  <si>
    <t>Product_27</t>
  </si>
  <si>
    <t>ORD00094</t>
  </si>
  <si>
    <t>ORD00175</t>
  </si>
  <si>
    <t>CUST0037</t>
  </si>
  <si>
    <t>Customer_37</t>
  </si>
  <si>
    <t>ORD00016</t>
  </si>
  <si>
    <t>CUST0064</t>
  </si>
  <si>
    <t>PROD0032</t>
  </si>
  <si>
    <t>Customer_64</t>
  </si>
  <si>
    <t>Product_32</t>
  </si>
  <si>
    <t>ORD00017</t>
  </si>
  <si>
    <t>CUST0061</t>
  </si>
  <si>
    <t>Customer_61</t>
  </si>
  <si>
    <t>ORD00029</t>
  </si>
  <si>
    <t>ORD00018</t>
  </si>
  <si>
    <t>CUST0094</t>
  </si>
  <si>
    <t>PROD0029</t>
  </si>
  <si>
    <t>Customer_94</t>
  </si>
  <si>
    <t>Product_29</t>
  </si>
  <si>
    <t>ORD00019</t>
  </si>
  <si>
    <t>CUST0151</t>
  </si>
  <si>
    <t>PROD0045</t>
  </si>
  <si>
    <t>Customer_151</t>
  </si>
  <si>
    <t>Product_45</t>
  </si>
  <si>
    <t>ORD00072</t>
  </si>
  <si>
    <t>ORD00021</t>
  </si>
  <si>
    <t>CUST0053</t>
  </si>
  <si>
    <t>PROD0047</t>
  </si>
  <si>
    <t>Customer_53</t>
  </si>
  <si>
    <t>Product_47</t>
  </si>
  <si>
    <t>ORD00191</t>
  </si>
  <si>
    <t>CUST0011</t>
  </si>
  <si>
    <t>Customer_11</t>
  </si>
  <si>
    <t>ORD00022</t>
  </si>
  <si>
    <t>PROD0028</t>
  </si>
  <si>
    <t>Product_28</t>
  </si>
  <si>
    <t>ORD00047</t>
  </si>
  <si>
    <t>PROD0009</t>
  </si>
  <si>
    <t>Product_9</t>
  </si>
  <si>
    <t>ORD00023</t>
  </si>
  <si>
    <t>CUST0204</t>
  </si>
  <si>
    <t>PROD0026</t>
  </si>
  <si>
    <t>Customer_204</t>
  </si>
  <si>
    <t>Product_26</t>
  </si>
  <si>
    <t>ORD00024</t>
  </si>
  <si>
    <t>CUST0189</t>
  </si>
  <si>
    <t>PROD0010</t>
  </si>
  <si>
    <t>Customer_189</t>
  </si>
  <si>
    <t>Product_10</t>
  </si>
  <si>
    <t>ORD00025</t>
  </si>
  <si>
    <t>CUST0026</t>
  </si>
  <si>
    <t>PROD0057</t>
  </si>
  <si>
    <t>Customer_26</t>
  </si>
  <si>
    <t>Product_57</t>
  </si>
  <si>
    <t>ORD00132</t>
  </si>
  <si>
    <t>CUST0022</t>
  </si>
  <si>
    <t>Customer_22</t>
  </si>
  <si>
    <t>ORD00026</t>
  </si>
  <si>
    <t>CUST0145</t>
  </si>
  <si>
    <t>Customer_145</t>
  </si>
  <si>
    <t>ORD00037</t>
  </si>
  <si>
    <t>ORD00027</t>
  </si>
  <si>
    <t>CUST0033</t>
  </si>
  <si>
    <t>PROD0022</t>
  </si>
  <si>
    <t>Customer_33</t>
  </si>
  <si>
    <t>Product_22</t>
  </si>
  <si>
    <t>ORD00028</t>
  </si>
  <si>
    <t>PROD0052</t>
  </si>
  <si>
    <t>Product_52</t>
  </si>
  <si>
    <t>ORD00117</t>
  </si>
  <si>
    <t>PROD0012</t>
  </si>
  <si>
    <t>Product_12</t>
  </si>
  <si>
    <t>ORD00076</t>
  </si>
  <si>
    <t>CUST0005</t>
  </si>
  <si>
    <t>PROD0043</t>
  </si>
  <si>
    <t>Customer_5</t>
  </si>
  <si>
    <t>Product_43</t>
  </si>
  <si>
    <t>ORD00030</t>
  </si>
  <si>
    <t>ORD00153</t>
  </si>
  <si>
    <t>CUST0013</t>
  </si>
  <si>
    <t>PROD0013</t>
  </si>
  <si>
    <t>Customer_13</t>
  </si>
  <si>
    <t>Product_13</t>
  </si>
  <si>
    <t>ORD00031</t>
  </si>
  <si>
    <t>CUST0024</t>
  </si>
  <si>
    <t>Customer_24</t>
  </si>
  <si>
    <t>ORD00032</t>
  </si>
  <si>
    <t>CUST0114</t>
  </si>
  <si>
    <t>Customer_114</t>
  </si>
  <si>
    <t>ORD00050</t>
  </si>
  <si>
    <t>PROD0015</t>
  </si>
  <si>
    <t>Product_15</t>
  </si>
  <si>
    <t>ORD00033</t>
  </si>
  <si>
    <t>CUST0158</t>
  </si>
  <si>
    <t>Customer_158</t>
  </si>
  <si>
    <t>ORD00034</t>
  </si>
  <si>
    <t>CUST0172</t>
  </si>
  <si>
    <t>Customer_172</t>
  </si>
  <si>
    <t>ORD00045</t>
  </si>
  <si>
    <t>PROD0036</t>
  </si>
  <si>
    <t>Product_36</t>
  </si>
  <si>
    <t>ORD00035</t>
  </si>
  <si>
    <t>CUST0132</t>
  </si>
  <si>
    <t>PROD0001</t>
  </si>
  <si>
    <t>Customer_132</t>
  </si>
  <si>
    <t>Product_1</t>
  </si>
  <si>
    <t>ORD00160</t>
  </si>
  <si>
    <t>CUST0016</t>
  </si>
  <si>
    <t>Customer_16</t>
  </si>
  <si>
    <t>ORD00036</t>
  </si>
  <si>
    <t>CUST0170</t>
  </si>
  <si>
    <t>Customer_170</t>
  </si>
  <si>
    <t>ORD00099</t>
  </si>
  <si>
    <t>PROD0053</t>
  </si>
  <si>
    <t>Product_53</t>
  </si>
  <si>
    <t>ORD00074</t>
  </si>
  <si>
    <t>PROD0019</t>
  </si>
  <si>
    <t>Product_19</t>
  </si>
  <si>
    <t>ORD00038</t>
  </si>
  <si>
    <t>CUST0177</t>
  </si>
  <si>
    <t>PROD0034</t>
  </si>
  <si>
    <t>Customer_177</t>
  </si>
  <si>
    <t>Product_34</t>
  </si>
  <si>
    <t>ORD00179</t>
  </si>
  <si>
    <t>ORD00039</t>
  </si>
  <si>
    <t>CUST0032</t>
  </si>
  <si>
    <t>Customer_32</t>
  </si>
  <si>
    <t>ORD00040</t>
  </si>
  <si>
    <t>CUST0040</t>
  </si>
  <si>
    <t>Customer_40</t>
  </si>
  <si>
    <t>ORD00041</t>
  </si>
  <si>
    <t>PROD0040</t>
  </si>
  <si>
    <t>Product_40</t>
  </si>
  <si>
    <t>ORD00206</t>
  </si>
  <si>
    <t>PROD0020</t>
  </si>
  <si>
    <t>Product_20</t>
  </si>
  <si>
    <t>ORD00043</t>
  </si>
  <si>
    <t>CUST0166</t>
  </si>
  <si>
    <t>Customer_166</t>
  </si>
  <si>
    <t>ORD00057</t>
  </si>
  <si>
    <t>ORD00044</t>
  </si>
  <si>
    <t>ORD00138</t>
  </si>
  <si>
    <t>CUST0019</t>
  </si>
  <si>
    <t>Customer_19</t>
  </si>
  <si>
    <t>ORD00147</t>
  </si>
  <si>
    <t>CUST0008</t>
  </si>
  <si>
    <t>PROD0042</t>
  </si>
  <si>
    <t>Customer_8</t>
  </si>
  <si>
    <t>Product_42</t>
  </si>
  <si>
    <t>ORD00046</t>
  </si>
  <si>
    <t>CUST0041</t>
  </si>
  <si>
    <t>Customer_41</t>
  </si>
  <si>
    <t>ORD00168</t>
  </si>
  <si>
    <t>CUST0009</t>
  </si>
  <si>
    <t>Customer_9</t>
  </si>
  <si>
    <t>ORD00203</t>
  </si>
  <si>
    <t>CUST0015</t>
  </si>
  <si>
    <t>Customer_15</t>
  </si>
  <si>
    <t>ORD00049</t>
  </si>
  <si>
    <t>PROD0021</t>
  </si>
  <si>
    <t>Product_21</t>
  </si>
  <si>
    <t>ORD00051</t>
  </si>
  <si>
    <t>CUST0047</t>
  </si>
  <si>
    <t>Customer_47</t>
  </si>
  <si>
    <t>ORD00052</t>
  </si>
  <si>
    <t>CUST0101</t>
  </si>
  <si>
    <t>PROD0039</t>
  </si>
  <si>
    <t>Customer_101</t>
  </si>
  <si>
    <t>Product_39</t>
  </si>
  <si>
    <t>ORD00053</t>
  </si>
  <si>
    <t>CUST0085</t>
  </si>
  <si>
    <t>Customer_85</t>
  </si>
  <si>
    <t>ORD00086</t>
  </si>
  <si>
    <t>PROD0041</t>
  </si>
  <si>
    <t>Product_41</t>
  </si>
  <si>
    <t>ORD00054</t>
  </si>
  <si>
    <t>CUST0115</t>
  </si>
  <si>
    <t>Customer_115</t>
  </si>
  <si>
    <t>ORD00193</t>
  </si>
  <si>
    <t>PROD0054</t>
  </si>
  <si>
    <t>Product_54</t>
  </si>
  <si>
    <t>ORD00055</t>
  </si>
  <si>
    <t>CUST0050</t>
  </si>
  <si>
    <t>Customer_50</t>
  </si>
  <si>
    <t>ORD00176</t>
  </si>
  <si>
    <t>CUST0017</t>
  </si>
  <si>
    <t>PROD0035</t>
  </si>
  <si>
    <t>Customer_17</t>
  </si>
  <si>
    <t>Product_35</t>
  </si>
  <si>
    <t>ORD00056</t>
  </si>
  <si>
    <t>CUST0103</t>
  </si>
  <si>
    <t>Customer_103</t>
  </si>
  <si>
    <t>ORD00080</t>
  </si>
  <si>
    <t>PROD0050</t>
  </si>
  <si>
    <t>Product_50</t>
  </si>
  <si>
    <t>ORD00174</t>
  </si>
  <si>
    <t>ORD00058</t>
  </si>
  <si>
    <t>CUST0117</t>
  </si>
  <si>
    <t>PROD0030</t>
  </si>
  <si>
    <t>Customer_117</t>
  </si>
  <si>
    <t>Product_30</t>
  </si>
  <si>
    <t>ORD00215</t>
  </si>
  <si>
    <t>ORD00060</t>
  </si>
  <si>
    <t>CUST0069</t>
  </si>
  <si>
    <t>Customer_69</t>
  </si>
  <si>
    <t>ORD00061</t>
  </si>
  <si>
    <t>CUST0209</t>
  </si>
  <si>
    <t>Customer_209</t>
  </si>
  <si>
    <t>ORD00062</t>
  </si>
  <si>
    <t>CUST0165</t>
  </si>
  <si>
    <t>Customer_165</t>
  </si>
  <si>
    <t>ORD00063</t>
  </si>
  <si>
    <t>CUST0134</t>
  </si>
  <si>
    <t>Customer_134</t>
  </si>
  <si>
    <t>ORD00064</t>
  </si>
  <si>
    <t>CUST0123</t>
  </si>
  <si>
    <t>Customer_123</t>
  </si>
  <si>
    <t>ORD00065</t>
  </si>
  <si>
    <t>CUST0154</t>
  </si>
  <si>
    <t>PROD0007</t>
  </si>
  <si>
    <t>Customer_154</t>
  </si>
  <si>
    <t>Product_7</t>
  </si>
  <si>
    <t>ORD00066</t>
  </si>
  <si>
    <t>ORD00067</t>
  </si>
  <si>
    <t>CUST0139</t>
  </si>
  <si>
    <t>Customer_139</t>
  </si>
  <si>
    <t>ORD00110</t>
  </si>
  <si>
    <t>ORD00068</t>
  </si>
  <si>
    <t>CUST0160</t>
  </si>
  <si>
    <t>Customer_160</t>
  </si>
  <si>
    <t>ORD00209</t>
  </si>
  <si>
    <t>ORD00069</t>
  </si>
  <si>
    <t>ORD00119</t>
  </si>
  <si>
    <t>CUST0025</t>
  </si>
  <si>
    <t>Customer_25</t>
  </si>
  <si>
    <t>ORD00070</t>
  </si>
  <si>
    <t>CUST0200</t>
  </si>
  <si>
    <t>PROD0049</t>
  </si>
  <si>
    <t>Customer_200</t>
  </si>
  <si>
    <t>Product_49</t>
  </si>
  <si>
    <t>ORD00145</t>
  </si>
  <si>
    <t>ORD00071</t>
  </si>
  <si>
    <t>ORD00214</t>
  </si>
  <si>
    <t>PROD0033</t>
  </si>
  <si>
    <t>Product_33</t>
  </si>
  <si>
    <t>ORD00218</t>
  </si>
  <si>
    <t>ORD00073</t>
  </si>
  <si>
    <t>CUST0100</t>
  </si>
  <si>
    <t>Customer_100</t>
  </si>
  <si>
    <t>ORD00182</t>
  </si>
  <si>
    <t>ORD00075</t>
  </si>
  <si>
    <t>CUST0214</t>
  </si>
  <si>
    <t>PROD0006</t>
  </si>
  <si>
    <t>Customer_214</t>
  </si>
  <si>
    <t>Product_6</t>
  </si>
  <si>
    <t>ORD00115</t>
  </si>
  <si>
    <t>CUST0029</t>
  </si>
  <si>
    <t>Customer_29</t>
  </si>
  <si>
    <t>ORD00077</t>
  </si>
  <si>
    <t>CUST0180</t>
  </si>
  <si>
    <t>Customer_180</t>
  </si>
  <si>
    <t>ORD00116</t>
  </si>
  <si>
    <t>ORD00078</t>
  </si>
  <si>
    <t>CUST0104</t>
  </si>
  <si>
    <t>PROD0038</t>
  </si>
  <si>
    <t>Customer_104</t>
  </si>
  <si>
    <t>Product_38</t>
  </si>
  <si>
    <t>ORD00079</t>
  </si>
  <si>
    <t>CUST0088</t>
  </si>
  <si>
    <t>Customer_88</t>
  </si>
  <si>
    <t>ORD00081</t>
  </si>
  <si>
    <t>ORD00082</t>
  </si>
  <si>
    <t>PROD0056</t>
  </si>
  <si>
    <t>Product_56</t>
  </si>
  <si>
    <t>ORD00083</t>
  </si>
  <si>
    <t>CUST0052</t>
  </si>
  <si>
    <t>Customer_52</t>
  </si>
  <si>
    <t>ORD00084</t>
  </si>
  <si>
    <t>CUST0182</t>
  </si>
  <si>
    <t>Customer_182</t>
  </si>
  <si>
    <t>ORD00192</t>
  </si>
  <si>
    <t>ORD00085</t>
  </si>
  <si>
    <t>CUST0108</t>
  </si>
  <si>
    <t>Customer_108</t>
  </si>
  <si>
    <t>ORD00087</t>
  </si>
  <si>
    <t>CUST0044</t>
  </si>
  <si>
    <t>Customer_44</t>
  </si>
  <si>
    <t>ORD00088</t>
  </si>
  <si>
    <t>CUST0065</t>
  </si>
  <si>
    <t>Customer_65</t>
  </si>
  <si>
    <t>ORD00114</t>
  </si>
  <si>
    <t>ORD00089</t>
  </si>
  <si>
    <t>PROD0055</t>
  </si>
  <si>
    <t>Product_55</t>
  </si>
  <si>
    <t>ORD00134</t>
  </si>
  <si>
    <t>ORD00090</t>
  </si>
  <si>
    <t>CUST0068</t>
  </si>
  <si>
    <t>Customer_68</t>
  </si>
  <si>
    <t>ORD00159</t>
  </si>
  <si>
    <t>ORD00091</t>
  </si>
  <si>
    <t>CUST0060</t>
  </si>
  <si>
    <t>Customer_60</t>
  </si>
  <si>
    <t>ORD00097</t>
  </si>
  <si>
    <t>CUST0036</t>
  </si>
  <si>
    <t>Customer_36</t>
  </si>
  <si>
    <t>ORD00092</t>
  </si>
  <si>
    <t>ORD00093</t>
  </si>
  <si>
    <t>CUST0106</t>
  </si>
  <si>
    <t>Customer_106</t>
  </si>
  <si>
    <t>ORD00165</t>
  </si>
  <si>
    <t>ORD00095</t>
  </si>
  <si>
    <t>CUST0127</t>
  </si>
  <si>
    <t>Customer_127</t>
  </si>
  <si>
    <t>ORD00096</t>
  </si>
  <si>
    <t>CUST0071</t>
  </si>
  <si>
    <t>PROD0059</t>
  </si>
  <si>
    <t>Customer_71</t>
  </si>
  <si>
    <t>Product_59</t>
  </si>
  <si>
    <t>ORD00098</t>
  </si>
  <si>
    <t>CUST0191</t>
  </si>
  <si>
    <t>Customer_191</t>
  </si>
  <si>
    <t>ORD00100</t>
  </si>
  <si>
    <t>CUST0113</t>
  </si>
  <si>
    <t>Customer_113</t>
  </si>
  <si>
    <t>ORD00101</t>
  </si>
  <si>
    <t>CUST0143</t>
  </si>
  <si>
    <t>Customer_143</t>
  </si>
  <si>
    <t>ORD00154</t>
  </si>
  <si>
    <t>CUST0046</t>
  </si>
  <si>
    <t>Customer_46</t>
  </si>
  <si>
    <t>ORD00102</t>
  </si>
  <si>
    <t>CUST0148</t>
  </si>
  <si>
    <t>Customer_148</t>
  </si>
  <si>
    <t>ORD00178</t>
  </si>
  <si>
    <t>ORD00103</t>
  </si>
  <si>
    <t>ORD00104</t>
  </si>
  <si>
    <t>CUST0192</t>
  </si>
  <si>
    <t>Customer_192</t>
  </si>
  <si>
    <t>ORD00105</t>
  </si>
  <si>
    <t>CUST0056</t>
  </si>
  <si>
    <t>Customer_56</t>
  </si>
  <si>
    <t>ORD00107</t>
  </si>
  <si>
    <t>CUST0063</t>
  </si>
  <si>
    <t>Customer_63</t>
  </si>
  <si>
    <t>ORD00108</t>
  </si>
  <si>
    <t>CUST0092</t>
  </si>
  <si>
    <t>Customer_92</t>
  </si>
  <si>
    <t>ORD00109</t>
  </si>
  <si>
    <t>ORD00111</t>
  </si>
  <si>
    <t>CUST0077</t>
  </si>
  <si>
    <t>Customer_77</t>
  </si>
  <si>
    <t>ORD00220</t>
  </si>
  <si>
    <t>ORD00112</t>
  </si>
  <si>
    <t>CUST0072</t>
  </si>
  <si>
    <t>PROD0003</t>
  </si>
  <si>
    <t>Customer_72</t>
  </si>
  <si>
    <t>Product_3</t>
  </si>
  <si>
    <t>ORD00113</t>
  </si>
  <si>
    <t>ORD00185</t>
  </si>
  <si>
    <t>CUST0054</t>
  </si>
  <si>
    <t>Customer_54</t>
  </si>
  <si>
    <t>ORD00188</t>
  </si>
  <si>
    <t>CUST0055</t>
  </si>
  <si>
    <t>Customer_55</t>
  </si>
  <si>
    <t>ORD00213</t>
  </si>
  <si>
    <t>ORD00186</t>
  </si>
  <si>
    <t>ORD00118</t>
  </si>
  <si>
    <t>ORD00126</t>
  </si>
  <si>
    <t>CUST0057</t>
  </si>
  <si>
    <t>Customer_57</t>
  </si>
  <si>
    <t>ORD00120</t>
  </si>
  <si>
    <t>PROD0046</t>
  </si>
  <si>
    <t>Product_46</t>
  </si>
  <si>
    <t>ORD00146</t>
  </si>
  <si>
    <t>ORD00121</t>
  </si>
  <si>
    <t>CUST0157</t>
  </si>
  <si>
    <t>Customer_157</t>
  </si>
  <si>
    <t>ORD00180</t>
  </si>
  <si>
    <t>ORD00122</t>
  </si>
  <si>
    <t>CUST0083</t>
  </si>
  <si>
    <t>Customer_83</t>
  </si>
  <si>
    <t>ORD00216</t>
  </si>
  <si>
    <t>ORD00123</t>
  </si>
  <si>
    <t>CUST0167</t>
  </si>
  <si>
    <t>Customer_167</t>
  </si>
  <si>
    <t>ORD00172</t>
  </si>
  <si>
    <t>ORD00125</t>
  </si>
  <si>
    <t>ORD00127</t>
  </si>
  <si>
    <t>CUST0219</t>
  </si>
  <si>
    <t>Customer_219</t>
  </si>
  <si>
    <t>ORD00162</t>
  </si>
  <si>
    <t>ORD00128</t>
  </si>
  <si>
    <t>CUST0152</t>
  </si>
  <si>
    <t>Customer_152</t>
  </si>
  <si>
    <t>ORD00129</t>
  </si>
  <si>
    <t>CUST0073</t>
  </si>
  <si>
    <t>Customer_73</t>
  </si>
  <si>
    <t>ORD00130</t>
  </si>
  <si>
    <t>CUST0084</t>
  </si>
  <si>
    <t>Customer_84</t>
  </si>
  <si>
    <t>ORD00133</t>
  </si>
  <si>
    <t>CUST0198</t>
  </si>
  <si>
    <t>Customer_198</t>
  </si>
  <si>
    <t>ORD00142</t>
  </si>
  <si>
    <t>ORD00135</t>
  </si>
  <si>
    <t>ORD00136</t>
  </si>
  <si>
    <t>CUST0105</t>
  </si>
  <si>
    <t>Customer_105</t>
  </si>
  <si>
    <t>ORD00137</t>
  </si>
  <si>
    <t>CUST0202</t>
  </si>
  <si>
    <t>Customer_202</t>
  </si>
  <si>
    <t>ORD00139</t>
  </si>
  <si>
    <t>CUST0218</t>
  </si>
  <si>
    <t>Customer_218</t>
  </si>
  <si>
    <t>ORD00217</t>
  </si>
  <si>
    <t>CUST0066</t>
  </si>
  <si>
    <t>Customer_66</t>
  </si>
  <si>
    <t>ORD00140</t>
  </si>
  <si>
    <t>CUST0093</t>
  </si>
  <si>
    <t>Customer_93</t>
  </si>
  <si>
    <t>ORD00141</t>
  </si>
  <si>
    <t>ORD00143</t>
  </si>
  <si>
    <t>CUST0140</t>
  </si>
  <si>
    <t>Customer_140</t>
  </si>
  <si>
    <t>ORD00144</t>
  </si>
  <si>
    <t>ORD00148</t>
  </si>
  <si>
    <t>CUST0220</t>
  </si>
  <si>
    <t>Customer_220</t>
  </si>
  <si>
    <t>ORD00149</t>
  </si>
  <si>
    <t>CUST0129</t>
  </si>
  <si>
    <t>Customer_129</t>
  </si>
  <si>
    <t>ORD00150</t>
  </si>
  <si>
    <t>CUST0107</t>
  </si>
  <si>
    <t>Customer_107</t>
  </si>
  <si>
    <t>ORD00181</t>
  </si>
  <si>
    <t>ORD00151</t>
  </si>
  <si>
    <t>CUST0179</t>
  </si>
  <si>
    <t>Customer_179</t>
  </si>
  <si>
    <t>ORD00158</t>
  </si>
  <si>
    <t>CUST0075</t>
  </si>
  <si>
    <t>Customer_75</t>
  </si>
  <si>
    <t>ORD00152</t>
  </si>
  <si>
    <t>CUST0118</t>
  </si>
  <si>
    <t>Customer_118</t>
  </si>
  <si>
    <t>ORD00211</t>
  </si>
  <si>
    <t>CUST0076</t>
  </si>
  <si>
    <t>Customer_76</t>
  </si>
  <si>
    <t>ORD00195</t>
  </si>
  <si>
    <t>ORD00155</t>
  </si>
  <si>
    <t>CUST0150</t>
  </si>
  <si>
    <t>Customer_150</t>
  </si>
  <si>
    <t>ORD00157</t>
  </si>
  <si>
    <t>CUST0112</t>
  </si>
  <si>
    <t>Customer_112</t>
  </si>
  <si>
    <t>ORD00201</t>
  </si>
  <si>
    <t>CUST0081</t>
  </si>
  <si>
    <t>Customer_81</t>
  </si>
  <si>
    <t>ORD00161</t>
  </si>
  <si>
    <t>CUST0168</t>
  </si>
  <si>
    <t>Customer_168</t>
  </si>
  <si>
    <t>ORD00163</t>
  </si>
  <si>
    <t>CUST0121</t>
  </si>
  <si>
    <t>Customer_121</t>
  </si>
  <si>
    <t>ORD00164</t>
  </si>
  <si>
    <t>CUST0156</t>
  </si>
  <si>
    <t>Customer_156</t>
  </si>
  <si>
    <t>ORD00177</t>
  </si>
  <si>
    <t>ORD00166</t>
  </si>
  <si>
    <t>CUST0185</t>
  </si>
  <si>
    <t>Customer_185</t>
  </si>
  <si>
    <t>ORD00196</t>
  </si>
  <si>
    <t>ORD00167</t>
  </si>
  <si>
    <t>ORD00169</t>
  </si>
  <si>
    <t>ORD00170</t>
  </si>
  <si>
    <t>CUST0201</t>
  </si>
  <si>
    <t>Customer_201</t>
  </si>
  <si>
    <t>ORD00171</t>
  </si>
  <si>
    <t>CUST0144</t>
  </si>
  <si>
    <t>Customer_144</t>
  </si>
  <si>
    <t>ORD00200</t>
  </si>
  <si>
    <t>CUST0097</t>
  </si>
  <si>
    <t>Customer_97</t>
  </si>
  <si>
    <t>ORD00173</t>
  </si>
  <si>
    <t>CUST0175</t>
  </si>
  <si>
    <t>Customer_175</t>
  </si>
  <si>
    <t>ORD00190</t>
  </si>
  <si>
    <t>CUST0099</t>
  </si>
  <si>
    <t>Customer_99</t>
  </si>
  <si>
    <t>ORD00194</t>
  </si>
  <si>
    <t>ORD00183</t>
  </si>
  <si>
    <t>CUST0109</t>
  </si>
  <si>
    <t>Customer_109</t>
  </si>
  <si>
    <t>ORD00184</t>
  </si>
  <si>
    <t>CUST0161</t>
  </si>
  <si>
    <t>PROD0016</t>
  </si>
  <si>
    <t>Customer_161</t>
  </si>
  <si>
    <t>Product_16</t>
  </si>
  <si>
    <t>ORD00202</t>
  </si>
  <si>
    <t>ORD00189</t>
  </si>
  <si>
    <t>CUST0171</t>
  </si>
  <si>
    <t>Customer_171</t>
  </si>
  <si>
    <t>ORD00198</t>
  </si>
  <si>
    <t>CUST0122</t>
  </si>
  <si>
    <t>Customer_122</t>
  </si>
  <si>
    <t>ORD00208</t>
  </si>
  <si>
    <t>ORD00197</t>
  </si>
  <si>
    <t>ORD00207</t>
  </si>
  <si>
    <t>CUST0130</t>
  </si>
  <si>
    <t>Customer_130</t>
  </si>
  <si>
    <t>ORD00199</t>
  </si>
  <si>
    <t>CUST0195</t>
  </si>
  <si>
    <t>Customer_195</t>
  </si>
  <si>
    <t>ORD00221</t>
  </si>
  <si>
    <t>ORD00204</t>
  </si>
  <si>
    <t>CUST0141</t>
  </si>
  <si>
    <t>Customer_141</t>
  </si>
  <si>
    <t>ORD00205</t>
  </si>
  <si>
    <t>ORD00219</t>
  </si>
  <si>
    <t>ORD00210</t>
  </si>
  <si>
    <t>CUST0208</t>
  </si>
  <si>
    <t>Customer_208</t>
  </si>
  <si>
    <t>ORD00212</t>
  </si>
  <si>
    <t>CUST0164</t>
  </si>
  <si>
    <t>PROD0011</t>
  </si>
  <si>
    <t>Customer_164</t>
  </si>
  <si>
    <t>Product_11</t>
  </si>
  <si>
    <t>ORD00222</t>
  </si>
  <si>
    <t>ORD00223</t>
  </si>
  <si>
    <t>CUST0102</t>
  </si>
  <si>
    <t>Customer_102</t>
  </si>
  <si>
    <t>ORD00224</t>
  </si>
  <si>
    <t>CUST0091</t>
  </si>
  <si>
    <t>Customer_91</t>
  </si>
  <si>
    <t>ORD00225</t>
  </si>
  <si>
    <t>ORD00226</t>
  </si>
  <si>
    <t>ORD00227</t>
  </si>
  <si>
    <t>ORD00228</t>
  </si>
  <si>
    <t>CUST0187</t>
  </si>
  <si>
    <t>Customer_187</t>
  </si>
  <si>
    <t>ORD00229</t>
  </si>
  <si>
    <t>CUST0146</t>
  </si>
  <si>
    <t>Customer_146</t>
  </si>
  <si>
    <t>ORD00230</t>
  </si>
  <si>
    <t>CUST0018</t>
  </si>
  <si>
    <t>Customer_18</t>
  </si>
  <si>
    <t>ORD00231</t>
  </si>
  <si>
    <t>ORD00232</t>
  </si>
  <si>
    <t>ORD00233</t>
  </si>
  <si>
    <t>CUST0116</t>
  </si>
  <si>
    <t>Customer_116</t>
  </si>
  <si>
    <t>ORD00234</t>
  </si>
  <si>
    <t>ORD00235</t>
  </si>
  <si>
    <t>CUST0086</t>
  </si>
  <si>
    <t>Customer_86</t>
  </si>
  <si>
    <t>ORD00236</t>
  </si>
  <si>
    <t>ORD00237</t>
  </si>
  <si>
    <t>CUST0027</t>
  </si>
  <si>
    <t>Customer_27</t>
  </si>
  <si>
    <t>ORD00238</t>
  </si>
  <si>
    <t>CUST0082</t>
  </si>
  <si>
    <t>Customer_82</t>
  </si>
  <si>
    <t>ORD00239</t>
  </si>
  <si>
    <t>CUST0021</t>
  </si>
  <si>
    <t>Customer_21</t>
  </si>
  <si>
    <t>ORD00240</t>
  </si>
  <si>
    <t>CUST0181</t>
  </si>
  <si>
    <t>Customer_181</t>
  </si>
  <si>
    <t>ORD00241</t>
  </si>
  <si>
    <t>ORD00242</t>
  </si>
  <si>
    <t>ORD00243</t>
  </si>
  <si>
    <t>CUST0211</t>
  </si>
  <si>
    <t>Customer_211</t>
  </si>
  <si>
    <t>ORD00244</t>
  </si>
  <si>
    <t>CUST0126</t>
  </si>
  <si>
    <t>Customer_126</t>
  </si>
  <si>
    <t>ORD00245</t>
  </si>
  <si>
    <t>CUST0120</t>
  </si>
  <si>
    <t>Customer_120</t>
  </si>
  <si>
    <t>ORD00246</t>
  </si>
  <si>
    <t>ORD00247</t>
  </si>
  <si>
    <t>CUST0034</t>
  </si>
  <si>
    <t>Customer_34</t>
  </si>
  <si>
    <t>ORD00248</t>
  </si>
  <si>
    <t>ORD00249</t>
  </si>
  <si>
    <t>ORD00250</t>
  </si>
  <si>
    <t>CUST0006</t>
  </si>
  <si>
    <t>Customer_6</t>
  </si>
  <si>
    <t>ORD00251</t>
  </si>
  <si>
    <t>ORD00252</t>
  </si>
  <si>
    <t>ORD00253</t>
  </si>
  <si>
    <t>CUST0217</t>
  </si>
  <si>
    <t>Customer_217</t>
  </si>
  <si>
    <t>ORD00254</t>
  </si>
  <si>
    <t>CUST0186</t>
  </si>
  <si>
    <t>Customer_186</t>
  </si>
  <si>
    <t>ORD00255</t>
  </si>
  <si>
    <t>CUST0038</t>
  </si>
  <si>
    <t>Customer_38</t>
  </si>
  <si>
    <t>ORD00256</t>
  </si>
  <si>
    <t>ORD00257</t>
  </si>
  <si>
    <t>ORD00258</t>
  </si>
  <si>
    <t>ORD00259</t>
  </si>
  <si>
    <t>ORD00260</t>
  </si>
  <si>
    <t>CUST0196</t>
  </si>
  <si>
    <t>Customer_196</t>
  </si>
  <si>
    <t>ORD00261</t>
  </si>
  <si>
    <t>ORD00262</t>
  </si>
  <si>
    <t>ORD00263</t>
  </si>
  <si>
    <t>ORD00264</t>
  </si>
  <si>
    <t>ORD00265</t>
  </si>
  <si>
    <t>ORD00266</t>
  </si>
  <si>
    <t>ORD00267</t>
  </si>
  <si>
    <t>CUST0199</t>
  </si>
  <si>
    <t>Customer_199</t>
  </si>
  <si>
    <t>ORD00268</t>
  </si>
  <si>
    <t>ORD00269</t>
  </si>
  <si>
    <t>CUST0062</t>
  </si>
  <si>
    <t>Customer_62</t>
  </si>
  <si>
    <t>ORD00270</t>
  </si>
  <si>
    <t>ORD00271</t>
  </si>
  <si>
    <t>ORD00272</t>
  </si>
  <si>
    <t>ORD00273</t>
  </si>
  <si>
    <t>ORD00274</t>
  </si>
  <si>
    <t>CUST0147</t>
  </si>
  <si>
    <t>Customer_147</t>
  </si>
  <si>
    <t>ORD00275</t>
  </si>
  <si>
    <t>CUST0023</t>
  </si>
  <si>
    <t>Customer_23</t>
  </si>
  <si>
    <t>ORD00276</t>
  </si>
  <si>
    <t>ORD00277</t>
  </si>
  <si>
    <t>ORD00278</t>
  </si>
  <si>
    <t>ORD00279</t>
  </si>
  <si>
    <t>ORD00280</t>
  </si>
  <si>
    <t>ORD00281</t>
  </si>
  <si>
    <t>ORD00282</t>
  </si>
  <si>
    <t>ORD00283</t>
  </si>
  <si>
    <t>ORD00284</t>
  </si>
  <si>
    <t>ORD00285</t>
  </si>
  <si>
    <t>ORD00286</t>
  </si>
  <si>
    <t>CUST0087</t>
  </si>
  <si>
    <t>Customer_87</t>
  </si>
  <si>
    <t>ORD00287</t>
  </si>
  <si>
    <t>ORD00288</t>
  </si>
  <si>
    <t>ORD00289</t>
  </si>
  <si>
    <t>ORD00290</t>
  </si>
  <si>
    <t>ORD00291</t>
  </si>
  <si>
    <t>ORD00292</t>
  </si>
  <si>
    <t>ORD00293</t>
  </si>
  <si>
    <t>ORD00294</t>
  </si>
  <si>
    <t>ORD00295</t>
  </si>
  <si>
    <t>CUST0028</t>
  </si>
  <si>
    <t>Customer_28</t>
  </si>
  <si>
    <t>ORD00296</t>
  </si>
  <si>
    <t>ORD00297</t>
  </si>
  <si>
    <t>ORD00298</t>
  </si>
  <si>
    <t>ORD00299</t>
  </si>
  <si>
    <t>ORD00300</t>
  </si>
  <si>
    <t>ORD00301</t>
  </si>
  <si>
    <t>CUST0133</t>
  </si>
  <si>
    <t>Customer_133</t>
  </si>
  <si>
    <t>ORD00302</t>
  </si>
  <si>
    <t>ORD00303</t>
  </si>
  <si>
    <t>ORD00304</t>
  </si>
  <si>
    <t>ORD00305</t>
  </si>
  <si>
    <t>ORD00306</t>
  </si>
  <si>
    <t>CUST0176</t>
  </si>
  <si>
    <t>Customer_176</t>
  </si>
  <si>
    <t>ORD00307</t>
  </si>
  <si>
    <t>CUST0190</t>
  </si>
  <si>
    <t>Customer_190</t>
  </si>
  <si>
    <t>ORD00308</t>
  </si>
  <si>
    <t>ORD00309</t>
  </si>
  <si>
    <t>ORD00310</t>
  </si>
  <si>
    <t>CUST0031</t>
  </si>
  <si>
    <t>Customer_31</t>
  </si>
  <si>
    <t>ORD00311</t>
  </si>
  <si>
    <t>ORD00312</t>
  </si>
  <si>
    <t>ORD00313</t>
  </si>
  <si>
    <t>CUST0216</t>
  </si>
  <si>
    <t>Customer_216</t>
  </si>
  <si>
    <t>ORD00314</t>
  </si>
  <si>
    <t>ORD00315</t>
  </si>
  <si>
    <t>ORD00316</t>
  </si>
  <si>
    <t>ORD00317</t>
  </si>
  <si>
    <t>ORD00318</t>
  </si>
  <si>
    <t>ORD00319</t>
  </si>
  <si>
    <t>CUST0131</t>
  </si>
  <si>
    <t>Customer_131</t>
  </si>
  <si>
    <t>ORD00320</t>
  </si>
  <si>
    <t>ORD00321</t>
  </si>
  <si>
    <t>ORD00322</t>
  </si>
  <si>
    <t>ORD00323</t>
  </si>
  <si>
    <t>ORD00324</t>
  </si>
  <si>
    <t>ORD00325</t>
  </si>
  <si>
    <t>CUST0203</t>
  </si>
  <si>
    <t>Customer_203</t>
  </si>
  <si>
    <t>ORD00326</t>
  </si>
  <si>
    <t>ORD00327</t>
  </si>
  <si>
    <t>ORD00328</t>
  </si>
  <si>
    <t>ORD00329</t>
  </si>
  <si>
    <t>CUST0197</t>
  </si>
  <si>
    <t>Customer_197</t>
  </si>
  <si>
    <t>ORD00330</t>
  </si>
  <si>
    <t>ORD00331</t>
  </si>
  <si>
    <t>ORD00332</t>
  </si>
  <si>
    <t>ORD00333</t>
  </si>
  <si>
    <t>ORD00334</t>
  </si>
  <si>
    <t>ORD00335</t>
  </si>
  <si>
    <t>CUST0030</t>
  </si>
  <si>
    <t>Customer_30</t>
  </si>
  <si>
    <t>ORD00336</t>
  </si>
  <si>
    <t>ORD00337</t>
  </si>
  <si>
    <t>ORD00338</t>
  </si>
  <si>
    <t>ORD00339</t>
  </si>
  <si>
    <t>ORD00340</t>
  </si>
  <si>
    <t>CUST0188</t>
  </si>
  <si>
    <t>Customer_188</t>
  </si>
  <si>
    <t>ORD00341</t>
  </si>
  <si>
    <t>ORD00342</t>
  </si>
  <si>
    <t>ORD00343</t>
  </si>
  <si>
    <t>ORD00344</t>
  </si>
  <si>
    <t>ORD00345</t>
  </si>
  <si>
    <t>CUST0213</t>
  </si>
  <si>
    <t>Customer_213</t>
  </si>
  <si>
    <t>ORD00346</t>
  </si>
  <si>
    <t>ORD00347</t>
  </si>
  <si>
    <t>CUST0042</t>
  </si>
  <si>
    <t>Customer_42</t>
  </si>
  <si>
    <t>ORD00348</t>
  </si>
  <si>
    <t>ORD00349</t>
  </si>
  <si>
    <t>ORD00350</t>
  </si>
  <si>
    <t>CUST0051</t>
  </si>
  <si>
    <t>Customer_51</t>
  </si>
  <si>
    <t>ORD00351</t>
  </si>
  <si>
    <t>ORD00352</t>
  </si>
  <si>
    <t>ORD00353</t>
  </si>
  <si>
    <t>CUST0205</t>
  </si>
  <si>
    <t>Customer_205</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</si>
  <si>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</si>
  <si>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</si>
  <si>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</si>
  <si>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</si>
  <si>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</si>
  <si>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</si>
  <si>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</si>
  <si>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</si>
  <si>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</si>
  <si>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</si>
  <si>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</si>
  <si>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</si>
  <si>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</si>
  <si>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</si>
  <si>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</si>
  <si>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</si>
  <si>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</si>
  <si>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</si>
  <si>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</si>
  <si>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</si>
  <si>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CUST0079</t>
  </si>
  <si>
    <t>Customer_79</t>
  </si>
  <si>
    <t>ORD00374</t>
  </si>
  <si>
    <t>ORD00375</t>
  </si>
  <si>
    <t>ORD00376</t>
  </si>
  <si>
    <t>ORD00377</t>
  </si>
  <si>
    <t>ORD00378</t>
  </si>
  <si>
    <t>CUST0095</t>
  </si>
  <si>
    <t>Customer_95</t>
  </si>
  <si>
    <t>ORD00379</t>
  </si>
  <si>
    <t>ORD00380</t>
  </si>
  <si>
    <t>ORD00381</t>
  </si>
  <si>
    <t>ORD00382</t>
  </si>
  <si>
    <t>ORD00383</t>
  </si>
  <si>
    <t>ORD00384</t>
  </si>
  <si>
    <t>ORD00385</t>
  </si>
  <si>
    <t>ORD00386</t>
  </si>
  <si>
    <t>ORD00387</t>
  </si>
  <si>
    <t>ORD00388</t>
  </si>
  <si>
    <t>ORD00389</t>
  </si>
  <si>
    <t>ORD00390</t>
  </si>
  <si>
    <t>CUST0010</t>
  </si>
  <si>
    <t>Customer_10</t>
  </si>
  <si>
    <t>ORD00391</t>
  </si>
  <si>
    <t>ORD00392</t>
  </si>
  <si>
    <t>ORD00393</t>
  </si>
  <si>
    <t>CUST0136</t>
  </si>
  <si>
    <t>Customer_136</t>
  </si>
  <si>
    <t>ORD00394</t>
  </si>
  <si>
    <t>ORD00395</t>
  </si>
  <si>
    <t>ORD00396</t>
  </si>
  <si>
    <t>ORD00397</t>
  </si>
  <si>
    <t>ORD00398</t>
  </si>
  <si>
    <t>CUST0135</t>
  </si>
  <si>
    <t>Customer_135</t>
  </si>
  <si>
    <t>ORD00399</t>
  </si>
  <si>
    <t>ORD00400</t>
  </si>
  <si>
    <t>CUST0078</t>
  </si>
  <si>
    <t>Customer_78</t>
  </si>
  <si>
    <t>Row Labels</t>
  </si>
  <si>
    <t>Grand Total</t>
  </si>
  <si>
    <t>Jan</t>
  </si>
  <si>
    <t>Feb</t>
  </si>
  <si>
    <t>Mar</t>
  </si>
  <si>
    <t>Apr</t>
  </si>
  <si>
    <t>May</t>
  </si>
  <si>
    <t>Jun</t>
  </si>
  <si>
    <t>Jul</t>
  </si>
  <si>
    <t>Aug</t>
  </si>
  <si>
    <t>Sep</t>
  </si>
  <si>
    <t>Oct</t>
  </si>
  <si>
    <t>Nov</t>
  </si>
  <si>
    <t>Dec</t>
  </si>
  <si>
    <t>Sum of Final_Sales</t>
  </si>
  <si>
    <t>Sum of Profit</t>
  </si>
  <si>
    <t>Count of Order_ID</t>
  </si>
  <si>
    <t>Values</t>
  </si>
  <si>
    <t>Count of Customer_ID</t>
  </si>
  <si>
    <t xml:space="preserve"> avg order value</t>
  </si>
  <si>
    <t>2023</t>
  </si>
  <si>
    <t>Monthly sales Trend</t>
  </si>
  <si>
    <t>category Performance</t>
  </si>
  <si>
    <t>Sales by city</t>
  </si>
  <si>
    <t>customer segment analaysis</t>
  </si>
  <si>
    <t>Total sales</t>
  </si>
  <si>
    <t>profitt</t>
  </si>
  <si>
    <t>Sum of Total sales</t>
  </si>
  <si>
    <t>avg order value</t>
  </si>
  <si>
    <t>Details for Sum of Total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</si>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</sst>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
    <numFmt numFmtId="165" formatCode="[&gt;=10000000]&quot;₹&quot;\ 0.00,,,&quot;Cr&quot;;"/>
    <numFmt numFmtId="166" formatCode="[&gt;=100000]\ &quot;₹&quot;\ 0.00,,&quot;L&quot;;"/>
    <numFmt numFmtId="167" formatCode="[&gt;=1000]\ &quot;₹&quot;\ 0.0,&quot;K&quot;;\ &quot;₹&quot;\ 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0" applyFont="1"/>
  </cellXfs>
  <cellStyles count="1">
    <cellStyle name="Normal" xfId="0" builtinId="0"/>
  </cellStyles>
  <dxfs count="26">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479172D8-539B-4682-AC3F-AB95AE3AE9F3}">
      <tableStyleElement type="wholeTable" dxfId="25"/>
    </tableStyle>
    <tableStyle name="Slicer Style 2" pivot="0" table="0" count="4" xr9:uid="{D2E5F04D-A7C8-40E0-AFB0-FE3932382F29}">
      <tableStyleElement type="wholeTable" dxfId="24"/>
      <tableStyleElement type="headerRow" dxfId="23"/>
    </tableStyle>
  </tableStyles>
  <extLst>
    <ext xmlns:x14="http://schemas.microsoft.com/office/spreadsheetml/2009/9/main" uri="{46F421CA-312F-682f-3DD2-61675219B42D}">
      <x14:dxfs count="2">
        <dxf>
          <fill>
            <patternFill>
              <bgColor theme="3" tint="0.24994659260841701"/>
            </patternFill>
          </fill>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Project1.xlsx]Sheet2!PivotTable1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Sheet2!$A$4:$A$7</c:f>
              <c:strCache>
                <c:ptCount val="4"/>
                <c:pt idx="0">
                  <c:v>Sum of Final_Sales</c:v>
                </c:pt>
                <c:pt idx="1">
                  <c:v>Count of Customer_ID</c:v>
                </c:pt>
                <c:pt idx="2">
                  <c:v>Sum of Profit</c:v>
                </c:pt>
                <c:pt idx="3">
                  <c:v>Count of Order_ID</c:v>
                </c:pt>
              </c:strCache>
            </c:strRef>
          </c:cat>
          <c:val>
            <c:numRef>
              <c:f>Sheet2!$B$4:$B$7</c:f>
              <c:numCache>
                <c:formatCode>General</c:formatCode>
                <c:ptCount val="4"/>
                <c:pt idx="0">
                  <c:v>3466275.0099999961</c:v>
                </c:pt>
                <c:pt idx="1">
                  <c:v>400</c:v>
                </c:pt>
                <c:pt idx="2">
                  <c:v>997291.68999999971</c:v>
                </c:pt>
                <c:pt idx="3">
                  <c:v>400</c:v>
                </c:pt>
              </c:numCache>
            </c:numRef>
          </c:val>
          <c:smooth val="0"/>
          <c:extLst>
            <c:ext xmlns:c16="http://schemas.microsoft.com/office/drawing/2014/chart" uri="{C3380CC4-5D6E-409C-BE32-E72D297353CC}">
              <c16:uniqueId val="{00000000-602A-4AF9-90B3-A6DF4578864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4403312"/>
        <c:axId val="1564386992"/>
      </c:lineChart>
      <c:catAx>
        <c:axId val="156440331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64386992"/>
        <c:crosses val="autoZero"/>
        <c:auto val="1"/>
        <c:lblAlgn val="ctr"/>
        <c:lblOffset val="100"/>
        <c:noMultiLvlLbl val="0"/>
      </c:catAx>
      <c:valAx>
        <c:axId val="156438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44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Project1.xlsx]Sheet3!PivotTable2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26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6622886403045765E-2"/>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07900857750585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934214602377333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26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35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907900857750585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436E-2"/>
              <c:y val="-6.9444444444444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43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7719389127699741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29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127199330569828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76266552286107E-2"/>
          <c:y val="0.17736111111111111"/>
          <c:w val="0.90752373344771387"/>
          <c:h val="0.77171296296296299"/>
        </c:manualLayout>
      </c:layout>
      <c:lineChart>
        <c:grouping val="standard"/>
        <c:varyColors val="0"/>
        <c:ser>
          <c:idx val="0"/>
          <c:order val="0"/>
          <c:tx>
            <c:strRef>
              <c:f>Sheet3!$B$3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7104-4C15-AC49-41A13713A459}"/>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C-7104-4C15-AC49-41A13713A459}"/>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7104-4C15-AC49-41A13713A459}"/>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7104-4C15-AC49-41A13713A459}"/>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7104-4C15-AC49-41A13713A459}"/>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7104-4C15-AC49-41A13713A459}"/>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7104-4C15-AC49-41A13713A459}"/>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7104-4C15-AC49-41A13713A459}"/>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7104-4C15-AC49-41A13713A459}"/>
              </c:ext>
            </c:extLst>
          </c:dPt>
          <c:dPt>
            <c:idx val="9"/>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7104-4C15-AC49-41A13713A459}"/>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7104-4C15-AC49-41A13713A459}"/>
              </c:ext>
            </c:extLst>
          </c:dPt>
          <c:dPt>
            <c:idx val="1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7104-4C15-AC49-41A13713A459}"/>
              </c:ext>
            </c:extLst>
          </c:dPt>
          <c:dLbls>
            <c:dLbl>
              <c:idx val="0"/>
              <c:layout>
                <c:manualLayout>
                  <c:x val="-6.127199330569828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104-4C15-AC49-41A13713A459}"/>
                </c:ext>
              </c:extLst>
            </c:dLbl>
            <c:dLbl>
              <c:idx val="1"/>
              <c:layout>
                <c:manualLayout>
                  <c:x val="-6.127199330569829E-2"/>
                  <c:y val="-2.77777777777778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104-4C15-AC49-41A13713A459}"/>
                </c:ext>
              </c:extLst>
            </c:dLbl>
            <c:dLbl>
              <c:idx val="2"/>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04-4C15-AC49-41A13713A459}"/>
                </c:ext>
              </c:extLst>
            </c:dLbl>
            <c:dLbl>
              <c:idx val="3"/>
              <c:layout>
                <c:manualLayout>
                  <c:x val="-7.6622886403045765E-2"/>
                  <c:y val="-7.407407407407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04-4C15-AC49-41A13713A459}"/>
                </c:ext>
              </c:extLst>
            </c:dLbl>
            <c:dLbl>
              <c:idx val="4"/>
              <c:layout>
                <c:manualLayout>
                  <c:x val="-5.9079008577505858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04-4C15-AC49-41A13713A459}"/>
                </c:ext>
              </c:extLst>
            </c:dLbl>
            <c:dLbl>
              <c:idx val="5"/>
              <c:layout>
                <c:manualLayout>
                  <c:x val="-3.9342146023773339E-2"/>
                  <c:y val="-6.4814814814814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04-4C15-AC49-41A13713A459}"/>
                </c:ext>
              </c:extLst>
            </c:dLbl>
            <c:dLbl>
              <c:idx val="6"/>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04-4C15-AC49-41A13713A459}"/>
                </c:ext>
              </c:extLst>
            </c:dLbl>
            <c:dLbl>
              <c:idx val="7"/>
              <c:layout>
                <c:manualLayout>
                  <c:x val="-6.1271993305698352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04-4C15-AC49-41A13713A459}"/>
                </c:ext>
              </c:extLst>
            </c:dLbl>
            <c:dLbl>
              <c:idx val="8"/>
              <c:layout>
                <c:manualLayout>
                  <c:x val="-5.9079008577505858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104-4C15-AC49-41A13713A459}"/>
                </c:ext>
              </c:extLst>
            </c:dLbl>
            <c:dLbl>
              <c:idx val="9"/>
              <c:layout>
                <c:manualLayout>
                  <c:x val="-6.1271993305698436E-2"/>
                  <c:y val="-6.9444444444444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04-4C15-AC49-41A13713A459}"/>
                </c:ext>
              </c:extLst>
            </c:dLbl>
            <c:dLbl>
              <c:idx val="10"/>
              <c:layout>
                <c:manualLayout>
                  <c:x val="-6.127199330569843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04-4C15-AC49-41A13713A459}"/>
                </c:ext>
              </c:extLst>
            </c:dLbl>
            <c:dLbl>
              <c:idx val="11"/>
              <c:layout>
                <c:manualLayout>
                  <c:x val="-8.7719389127699741E-3"/>
                  <c:y val="-7.4074074074074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04-4C15-AC49-41A13713A4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Sheet3!$A$4:$A$17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Sheet3!$B$4:$B$17</c:f>
              <c:numCache>
                <c:formatCode>"₹"\ #,##0</c:formatCode>
                <c:ptCount val="12"/>
                <c:pt idx="0">
                  <c:v>287320.19</c:v>
                </c:pt>
                <c:pt idx="1">
                  <c:v>377376.56000000017</c:v>
                </c:pt>
                <c:pt idx="2">
                  <c:v>240007.88999999993</c:v>
                </c:pt>
                <c:pt idx="3">
                  <c:v>258282.45000000004</c:v>
                </c:pt>
                <c:pt idx="4">
                  <c:v>299300.80999999994</c:v>
                </c:pt>
                <c:pt idx="5">
                  <c:v>282709.02999999997</c:v>
                </c:pt>
                <c:pt idx="6">
                  <c:v>254616.48000000004</c:v>
                </c:pt>
                <c:pt idx="7">
                  <c:v>321221.52</c:v>
                </c:pt>
                <c:pt idx="8">
                  <c:v>278194.43</c:v>
                </c:pt>
                <c:pt idx="9">
                  <c:v>274796.86</c:v>
                </c:pt>
                <c:pt idx="10">
                  <c:v>252582.69</c:v>
                </c:pt>
                <c:pt idx="11">
                  <c:v>339866.1</c:v>
                </c:pt>
              </c:numCache>
            </c:numRef>
          </c:val>
          <c:smooth val="0"/>
          <c:extLst>
            <c:ext xmlns:c16="http://schemas.microsoft.com/office/drawing/2014/chart" uri="{C3380CC4-5D6E-409C-BE32-E72D297353CC}">
              <c16:uniqueId val="{00000000-7104-4C15-AC49-41A13713A45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5712016"/>
        <c:axId val="385712976"/>
      </c:lineChart>
      <c:catAx>
        <c:axId val="385712016"/>
        <c:scaling>
          <c:orientation val="minMax"/>
        </c:scaling>
        <c:delete val="1"/>
        <c:axPos val="b"/>
        <c:numFmt formatCode="General" sourceLinked="1"/>
        <c:majorTickMark val="none"/>
        <c:minorTickMark val="none"/>
        <c:tickLblPos val="nextTo"/>
        <c:crossAx val="385712976"/>
        <c:crosses val="autoZero"/>
        <c:auto val="1"/>
        <c:lblAlgn val="ctr"/>
        <c:lblOffset val="100"/>
        <c:noMultiLvlLbl val="0"/>
      </c:catAx>
      <c:valAx>
        <c:axId val="3857129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5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Project1.xlsx]Sheet4!PivotTable3</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Clothing</c:v>
                </c:pt>
                <c:pt idx="1">
                  <c:v>Electronics</c:v>
                </c:pt>
                <c:pt idx="2">
                  <c:v>Furniture</c:v>
                </c:pt>
                <c:pt idx="3">
                  <c:v>Grocery</c:v>
                </c:pt>
              </c:strCache>
            </c:strRef>
          </c:cat>
          <c:val>
            <c:numRef>
              <c:f>Sheet4!$B$4:$B$8</c:f>
              <c:numCache>
                <c:formatCode>General</c:formatCode>
                <c:ptCount val="4"/>
                <c:pt idx="0">
                  <c:v>1139280.8700000003</c:v>
                </c:pt>
                <c:pt idx="1">
                  <c:v>1188031.2499999998</c:v>
                </c:pt>
                <c:pt idx="2">
                  <c:v>1720201.8699999994</c:v>
                </c:pt>
                <c:pt idx="3">
                  <c:v>1342697.6900000002</c:v>
                </c:pt>
              </c:numCache>
            </c:numRef>
          </c:val>
          <c:extLst>
            <c:ext xmlns:c16="http://schemas.microsoft.com/office/drawing/2014/chart" uri="{C3380CC4-5D6E-409C-BE32-E72D297353CC}">
              <c16:uniqueId val="{00000000-D58A-4EF2-89FF-9C331FF87B39}"/>
            </c:ext>
          </c:extLst>
        </c:ser>
        <c:dLbls>
          <c:dLblPos val="inEnd"/>
          <c:showLegendKey val="0"/>
          <c:showVal val="1"/>
          <c:showCatName val="0"/>
          <c:showSerName val="0"/>
          <c:showPercent val="0"/>
          <c:showBubbleSize val="0"/>
        </c:dLbls>
        <c:gapWidth val="41"/>
        <c:axId val="385718256"/>
        <c:axId val="385716816"/>
      </c:barChart>
      <c:catAx>
        <c:axId val="38571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5716816"/>
        <c:crosses val="autoZero"/>
        <c:auto val="1"/>
        <c:lblAlgn val="ctr"/>
        <c:lblOffset val="100"/>
        <c:noMultiLvlLbl val="0"/>
      </c:catAx>
      <c:valAx>
        <c:axId val="385716816"/>
        <c:scaling>
          <c:orientation val="minMax"/>
        </c:scaling>
        <c:delete val="1"/>
        <c:axPos val="l"/>
        <c:numFmt formatCode="General" sourceLinked="1"/>
        <c:majorTickMark val="none"/>
        <c:minorTickMark val="none"/>
        <c:tickLblPos val="nextTo"/>
        <c:crossAx val="38571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Project1.xlsx]Sheet5!PivotTable4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t>PROFIT</a:t>
            </a:r>
            <a:r>
              <a:rPr lang="en-IN" sz="1200" b="1" baseline="0"/>
              <a:t> BY </a:t>
            </a:r>
            <a:r>
              <a:rPr lang="en-IN" sz="1200" b="1"/>
              <a:t>BRAND</a:t>
            </a:r>
            <a:r>
              <a:rPr lang="en-IN" sz="1200" b="1" baseline="0"/>
              <a:t>  </a:t>
            </a:r>
            <a:endParaRPr lang="en-IN" sz="1200" b="1"/>
          </a:p>
        </c:rich>
      </c:tx>
      <c:layout>
        <c:manualLayout>
          <c:xMode val="edge"/>
          <c:yMode val="edge"/>
          <c:x val="0.15943749519753789"/>
          <c:y val="1.388888888888888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7203733585691"/>
          <c:y val="8.3333333333333329E-2"/>
          <c:w val="0.82342246702983379"/>
          <c:h val="0.89814814814814814"/>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Brandd</c:v>
                </c:pt>
                <c:pt idx="1">
                  <c:v>Brandc</c:v>
                </c:pt>
                <c:pt idx="2">
                  <c:v>Brandb</c:v>
                </c:pt>
                <c:pt idx="3">
                  <c:v>Branda</c:v>
                </c:pt>
              </c:strCache>
            </c:strRef>
          </c:cat>
          <c:val>
            <c:numRef>
              <c:f>Sheet5!$B$4:$B$8</c:f>
              <c:numCache>
                <c:formatCode>"₹"\ #,##0</c:formatCode>
                <c:ptCount val="4"/>
                <c:pt idx="0">
                  <c:v>217105.83000000007</c:v>
                </c:pt>
                <c:pt idx="1">
                  <c:v>132575.31000000003</c:v>
                </c:pt>
                <c:pt idx="2">
                  <c:v>235376.71000000002</c:v>
                </c:pt>
                <c:pt idx="3">
                  <c:v>412233.84</c:v>
                </c:pt>
              </c:numCache>
            </c:numRef>
          </c:val>
          <c:extLst>
            <c:ext xmlns:c16="http://schemas.microsoft.com/office/drawing/2014/chart" uri="{C3380CC4-5D6E-409C-BE32-E72D297353CC}">
              <c16:uniqueId val="{00000000-E921-423F-BB33-51D0CF62590F}"/>
            </c:ext>
          </c:extLst>
        </c:ser>
        <c:dLbls>
          <c:dLblPos val="outEnd"/>
          <c:showLegendKey val="0"/>
          <c:showVal val="1"/>
          <c:showCatName val="0"/>
          <c:showSerName val="0"/>
          <c:showPercent val="0"/>
          <c:showBubbleSize val="0"/>
        </c:dLbls>
        <c:gapWidth val="182"/>
        <c:axId val="548161472"/>
        <c:axId val="548161952"/>
      </c:barChart>
      <c:catAx>
        <c:axId val="5481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61952"/>
        <c:crosses val="autoZero"/>
        <c:auto val="1"/>
        <c:lblAlgn val="ctr"/>
        <c:lblOffset val="100"/>
        <c:noMultiLvlLbl val="0"/>
      </c:catAx>
      <c:valAx>
        <c:axId val="548161952"/>
        <c:scaling>
          <c:orientation val="minMax"/>
        </c:scaling>
        <c:delete val="1"/>
        <c:axPos val="b"/>
        <c:numFmt formatCode="&quot;₹&quot;\ #,##0" sourceLinked="1"/>
        <c:majorTickMark val="none"/>
        <c:minorTickMark val="none"/>
        <c:tickLblPos val="nextTo"/>
        <c:crossAx val="5481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layout>
        <c:manualLayout>
          <c:xMode val="edge"/>
          <c:yMode val="edge"/>
          <c:x val="0.1255485564304462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Delhi</c:v>
                </c:pt>
                <c:pt idx="1">
                  <c:v>Karnataka</c:v>
                </c:pt>
                <c:pt idx="2">
                  <c:v>Maharashtra</c:v>
                </c:pt>
                <c:pt idx="3">
                  <c:v>Tamil Nadu</c:v>
                </c:pt>
                <c:pt idx="4">
                  <c:v>Telangana</c:v>
                </c:pt>
                <c:pt idx="5">
                  <c:v>West Bengal</c:v>
                </c:pt>
              </c:strCache>
            </c:strRef>
          </c:cat>
          <c:val>
            <c:numRef>
              <c:f>Sheet6!$B$4:$B$10</c:f>
              <c:numCache>
                <c:formatCode>"₹"\ #,##0</c:formatCode>
                <c:ptCount val="6"/>
                <c:pt idx="0">
                  <c:v>1150553.9500000002</c:v>
                </c:pt>
                <c:pt idx="1">
                  <c:v>825447.35000000056</c:v>
                </c:pt>
                <c:pt idx="2">
                  <c:v>1045926.2</c:v>
                </c:pt>
                <c:pt idx="3">
                  <c:v>665596.22</c:v>
                </c:pt>
                <c:pt idx="4">
                  <c:v>873621.79</c:v>
                </c:pt>
                <c:pt idx="5">
                  <c:v>829066.16999999981</c:v>
                </c:pt>
              </c:numCache>
            </c:numRef>
          </c:val>
          <c:extLst>
            <c:ext xmlns:c16="http://schemas.microsoft.com/office/drawing/2014/chart" uri="{C3380CC4-5D6E-409C-BE32-E72D297353CC}">
              <c16:uniqueId val="{00000000-9FB3-4064-A1DA-97F167D4424B}"/>
            </c:ext>
          </c:extLst>
        </c:ser>
        <c:dLbls>
          <c:dLblPos val="outEnd"/>
          <c:showLegendKey val="0"/>
          <c:showVal val="1"/>
          <c:showCatName val="0"/>
          <c:showSerName val="0"/>
          <c:showPercent val="0"/>
          <c:showBubbleSize val="0"/>
        </c:dLbls>
        <c:gapWidth val="182"/>
        <c:axId val="385725936"/>
        <c:axId val="385724496"/>
      </c:barChart>
      <c:catAx>
        <c:axId val="38572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24496"/>
        <c:crosses val="autoZero"/>
        <c:auto val="1"/>
        <c:lblAlgn val="ctr"/>
        <c:lblOffset val="100"/>
        <c:noMultiLvlLbl val="0"/>
      </c:catAx>
      <c:valAx>
        <c:axId val="385724496"/>
        <c:scaling>
          <c:orientation val="minMax"/>
        </c:scaling>
        <c:delete val="1"/>
        <c:axPos val="b"/>
        <c:numFmt formatCode="&quot;₹&quot;\ #,##0" sourceLinked="1"/>
        <c:majorTickMark val="none"/>
        <c:minorTickMark val="none"/>
        <c:tickLblPos val="nextTo"/>
        <c:crossAx val="3857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Project1.xlsx]Sheet7!PivotTable6</c:name>
    <c:fmtId val="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CUSTOMER SEGMENT ANALYSIS</a:t>
            </a:r>
          </a:p>
        </c:rich>
      </c:tx>
      <c:layout>
        <c:manualLayout>
          <c:xMode val="edge"/>
          <c:yMode val="edge"/>
          <c:x val="2.9354111986001755E-2"/>
          <c:y val="3.24074074074074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Sum of 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Sheet7!$A$4:$A$7</c:f>
              <c:strCache>
                <c:ptCount val="3"/>
                <c:pt idx="0">
                  <c:v>Corporate</c:v>
                </c:pt>
                <c:pt idx="1">
                  <c:v>Retail</c:v>
                </c:pt>
                <c:pt idx="2">
                  <c:v>Wholesale</c:v>
                </c:pt>
              </c:strCache>
            </c:strRef>
          </c:cat>
          <c:val>
            <c:numRef>
              <c:f>Sheet7!$B$4:$B$7</c:f>
              <c:numCache>
                <c:formatCode>"₹"\ #,##0</c:formatCode>
                <c:ptCount val="3"/>
                <c:pt idx="0">
                  <c:v>1805269.9999999991</c:v>
                </c:pt>
                <c:pt idx="1">
                  <c:v>1791841.929999999</c:v>
                </c:pt>
                <c:pt idx="2">
                  <c:v>1793099.75</c:v>
                </c:pt>
              </c:numCache>
            </c:numRef>
          </c:val>
          <c:extLst>
            <c:ext xmlns:c16="http://schemas.microsoft.com/office/drawing/2014/chart" uri="{C3380CC4-5D6E-409C-BE32-E72D297353CC}">
              <c16:uniqueId val="{00000001-D4D0-431C-BC16-CD45BA9EF558}"/>
            </c:ext>
          </c:extLst>
        </c:ser>
        <c:ser>
          <c:idx val="1"/>
          <c:order val="1"/>
          <c:tx>
            <c:strRef>
              <c:f>Sheet7!$C$3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Sheet7!$A$4:$A$7</c:f>
              <c:strCache>
                <c:ptCount val="3"/>
                <c:pt idx="0">
                  <c:v>Corporate</c:v>
                </c:pt>
                <c:pt idx="1">
                  <c:v>Retail</c:v>
                </c:pt>
                <c:pt idx="2">
                  <c:v>Wholesale</c:v>
                </c:pt>
              </c:strCache>
            </c:strRef>
          </c:cat>
          <c:val>
            <c:numRef>
              <c:f>Sheet7!$C$4:$C$7</c:f>
              <c:numCache>
                <c:formatCode>"₹"\ #,##0</c:formatCode>
                <c:ptCount val="3"/>
                <c:pt idx="0">
                  <c:v>336221.67999999993</c:v>
                </c:pt>
                <c:pt idx="1">
                  <c:v>356046.9600000002</c:v>
                </c:pt>
                <c:pt idx="2">
                  <c:v>305023.04999999993</c:v>
                </c:pt>
              </c:numCache>
            </c:numRef>
          </c:val>
          <c:extLst>
            <c:ext xmlns:c16="http://schemas.microsoft.com/office/drawing/2014/chart" uri="{C3380CC4-5D6E-409C-BE32-E72D297353CC}">
              <c16:uniqueId val="{00000002-D4D0-431C-BC16-CD45BA9EF558}"/>
            </c:ext>
          </c:extLst>
        </c:ser>
        <c:dLbls>
          <c:dLblPos val="ctr"/>
          <c:showLegendKey val="0"/>
          <c:showVal val="1"/>
          <c:showCatName val="0"/>
          <c:showSerName val="0"/>
          <c:showPercent val="0"/>
          <c:showBubbleSize val="0"/>
        </c:dLbls>
        <c:gapWidth val="150"/>
        <c:overlap val="100"/>
        <c:axId val="385721616"/>
        <c:axId val="385725456"/>
      </c:barChart>
      <c:catAx>
        <c:axId val="3857216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5725456"/>
        <c:crosses val="autoZero"/>
        <c:auto val="1"/>
        <c:lblAlgn val="ctr"/>
        <c:lblOffset val="100"/>
        <c:noMultiLvlLbl val="0"/>
      </c:catAx>
      <c:valAx>
        <c:axId val="385725456"/>
        <c:scaling>
          <c:orientation val="minMax"/>
        </c:scaling>
        <c:delete val="1"/>
        <c:axPos val="l"/>
        <c:numFmt formatCode="&quot;₹&quot;\ #,##0" sourceLinked="1"/>
        <c:majorTickMark val="none"/>
        <c:minorTickMark val="none"/>
        <c:tickLblPos val="nextTo"/>
        <c:crossAx val="38572161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Project1.xlsx]Sheet3!PivotTable2</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MONTHLY</a:t>
            </a:r>
            <a:r>
              <a:rPr lang="en-US" b="1" baseline="0"/>
              <a:t> SALES TREND</a:t>
            </a:r>
            <a:endParaRPr lang="en-US" b="1"/>
          </a:p>
        </c:rich>
      </c:tx>
      <c:layout>
        <c:manualLayout>
          <c:xMode val="edge"/>
          <c:yMode val="edge"/>
          <c:x val="0.27527777777777779"/>
          <c:y val="2.984501268537346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6622886403045765E-2"/>
              <c:y val="-7.40740740740740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9079008577505858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342146023773339E-2"/>
              <c:y val="-6.481481481481485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1271993305698352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9079008577505858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1271993305698436E-2"/>
              <c:y val="-6.9444444444444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127199330569843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7719389127699741E-3"/>
              <c:y val="-7.407407407407411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127199330569829E-2"/>
              <c:y val="-2.77777777777778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127199330569828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127199330569828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127199330569829E-2"/>
              <c:y val="-2.77777777777778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7.6622886403045765E-2"/>
              <c:y val="-7.40740740740740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9079008577505858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9342146023773339E-2"/>
              <c:y val="-6.481481481481485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1271993305698352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9079008577505858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6.1271993305698436E-2"/>
              <c:y val="-6.94444444444444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6.127199330569843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8.7719389127699741E-3"/>
              <c:y val="-7.407407407407411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283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29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26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8100" cap="rnd">
            <a:solidFill>
              <a:schemeClr val="accent1"/>
            </a:solidFill>
            <a:round/>
          </a:ln>
          <a:effectLst/>
        </c:spPr>
        <c:marker>
          <c:symbol val="circle"/>
          <c:size val="8"/>
          <c:spPr>
            <a:solidFill>
              <a:schemeClr val="accent1"/>
            </a:solidFill>
            <a:ln>
              <a:noFill/>
            </a:ln>
            <a:effectLst/>
          </c:spPr>
        </c:marker>
        <c:dLbl>
          <c:idx val="0"/>
          <c:layout>
            <c:manualLayout>
              <c:x val="-7.6622886403045765E-2"/>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8100" cap="rnd">
            <a:solidFill>
              <a:schemeClr val="accent1"/>
            </a:solidFill>
            <a:round/>
          </a:ln>
          <a:effectLst/>
        </c:spPr>
        <c:marker>
          <c:symbol val="circle"/>
          <c:size val="8"/>
          <c:spPr>
            <a:solidFill>
              <a:schemeClr val="accent1"/>
            </a:solidFill>
            <a:ln>
              <a:noFill/>
            </a:ln>
            <a:effectLst/>
          </c:spPr>
        </c:marker>
        <c:dLbl>
          <c:idx val="0"/>
          <c:layout>
            <c:manualLayout>
              <c:x val="-5.907900857750585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8100" cap="rnd">
            <a:solidFill>
              <a:schemeClr val="accent1"/>
            </a:solidFill>
            <a:round/>
          </a:ln>
          <a:effectLst/>
        </c:spPr>
        <c:marker>
          <c:symbol val="circle"/>
          <c:size val="8"/>
          <c:spPr>
            <a:solidFill>
              <a:schemeClr val="accent1"/>
            </a:solidFill>
            <a:ln>
              <a:noFill/>
            </a:ln>
            <a:effectLst/>
          </c:spPr>
        </c:marker>
        <c:dLbl>
          <c:idx val="0"/>
          <c:layout>
            <c:manualLayout>
              <c:x val="-3.934214602377333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26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35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8100" cap="rnd">
            <a:solidFill>
              <a:schemeClr val="accent1"/>
            </a:solidFill>
            <a:round/>
          </a:ln>
          <a:effectLst/>
        </c:spPr>
        <c:marker>
          <c:symbol val="circle"/>
          <c:size val="8"/>
          <c:spPr>
            <a:solidFill>
              <a:schemeClr val="accent1"/>
            </a:solidFill>
            <a:ln>
              <a:noFill/>
            </a:ln>
            <a:effectLst/>
          </c:spPr>
        </c:marker>
        <c:dLbl>
          <c:idx val="0"/>
          <c:layout>
            <c:manualLayout>
              <c:x val="-5.907900857750585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436E-2"/>
              <c:y val="-6.9444444444444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8100" cap="rnd">
            <a:solidFill>
              <a:schemeClr val="accent1"/>
            </a:solidFill>
            <a:round/>
          </a:ln>
          <a:effectLst/>
        </c:spPr>
        <c:marker>
          <c:symbol val="circle"/>
          <c:size val="8"/>
          <c:spPr>
            <a:solidFill>
              <a:schemeClr val="accent1"/>
            </a:solidFill>
            <a:ln>
              <a:noFill/>
            </a:ln>
            <a:effectLst/>
          </c:spPr>
        </c:marker>
        <c:dLbl>
          <c:idx val="0"/>
          <c:layout>
            <c:manualLayout>
              <c:x val="-6.127199330569843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8100" cap="rnd">
            <a:solidFill>
              <a:schemeClr val="accent1"/>
            </a:solidFill>
            <a:round/>
          </a:ln>
          <a:effectLst/>
        </c:spPr>
        <c:marker>
          <c:symbol val="circle"/>
          <c:size val="8"/>
          <c:spPr>
            <a:solidFill>
              <a:schemeClr val="accent1"/>
            </a:solidFill>
            <a:ln>
              <a:noFill/>
            </a:ln>
            <a:effectLst/>
          </c:spPr>
        </c:marker>
        <c:dLbl>
          <c:idx val="0"/>
          <c:layout>
            <c:manualLayout>
              <c:x val="-8.7719389127699741E-3"/>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76232137649467E-2"/>
          <c:y val="0.15076032362009478"/>
          <c:w val="0.90752373344771387"/>
          <c:h val="0.70961599815502441"/>
        </c:manualLayout>
      </c:layout>
      <c:lineChart>
        <c:grouping val="standard"/>
        <c:varyColors val="0"/>
        <c:ser>
          <c:idx val="0"/>
          <c:order val="0"/>
          <c:tx>
            <c:strRef>
              <c:f>Sheet3!$B$3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3627-44BC-8F4B-333F6AB45E31}"/>
              </c:ext>
            </c:extLst>
          </c:dPt>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3627-44BC-8F4B-333F6AB45E31}"/>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2-3627-44BC-8F4B-333F6AB45E31}"/>
              </c:ext>
            </c:extLst>
          </c:dPt>
          <c:dPt>
            <c:idx val="3"/>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3627-44BC-8F4B-333F6AB45E31}"/>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4-3627-44BC-8F4B-333F6AB45E31}"/>
              </c:ext>
            </c:extLst>
          </c:dPt>
          <c:dPt>
            <c:idx val="5"/>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3627-44BC-8F4B-333F6AB45E31}"/>
              </c:ext>
            </c:extLst>
          </c:dPt>
          <c:dPt>
            <c:idx val="6"/>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6-3627-44BC-8F4B-333F6AB45E31}"/>
              </c:ext>
            </c:extLst>
          </c:dPt>
          <c:dPt>
            <c:idx val="7"/>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7-3627-44BC-8F4B-333F6AB45E31}"/>
              </c:ext>
            </c:extLst>
          </c:dPt>
          <c:dPt>
            <c:idx val="8"/>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8-3627-44BC-8F4B-333F6AB45E31}"/>
              </c:ext>
            </c:extLst>
          </c:dPt>
          <c:dPt>
            <c:idx val="9"/>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9-3627-44BC-8F4B-333F6AB45E31}"/>
              </c:ext>
            </c:extLst>
          </c:dPt>
          <c:dPt>
            <c:idx val="1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A-3627-44BC-8F4B-333F6AB45E31}"/>
              </c:ext>
            </c:extLst>
          </c:dPt>
          <c:dPt>
            <c:idx val="1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B-3627-44BC-8F4B-333F6AB45E31}"/>
              </c:ext>
            </c:extLst>
          </c:dPt>
          <c:dLbls>
            <c:dLbl>
              <c:idx val="0"/>
              <c:layout>
                <c:manualLayout>
                  <c:x val="-6.1271993305698283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27-44BC-8F4B-333F6AB45E31}"/>
                </c:ext>
              </c:extLst>
            </c:dLbl>
            <c:dLbl>
              <c:idx val="1"/>
              <c:layout>
                <c:manualLayout>
                  <c:x val="-6.127199330569829E-2"/>
                  <c:y val="-2.77777777777778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27-44BC-8F4B-333F6AB45E31}"/>
                </c:ext>
              </c:extLst>
            </c:dLbl>
            <c:dLbl>
              <c:idx val="2"/>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27-44BC-8F4B-333F6AB45E31}"/>
                </c:ext>
              </c:extLst>
            </c:dLbl>
            <c:dLbl>
              <c:idx val="3"/>
              <c:layout>
                <c:manualLayout>
                  <c:x val="-7.6622886403045765E-2"/>
                  <c:y val="-7.407407407407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27-44BC-8F4B-333F6AB45E31}"/>
                </c:ext>
              </c:extLst>
            </c:dLbl>
            <c:dLbl>
              <c:idx val="4"/>
              <c:layout>
                <c:manualLayout>
                  <c:x val="-5.9079008577505858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27-44BC-8F4B-333F6AB45E31}"/>
                </c:ext>
              </c:extLst>
            </c:dLbl>
            <c:dLbl>
              <c:idx val="5"/>
              <c:layout>
                <c:manualLayout>
                  <c:x val="-3.9342146023773339E-2"/>
                  <c:y val="-6.4814814814814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27-44BC-8F4B-333F6AB45E31}"/>
                </c:ext>
              </c:extLst>
            </c:dLbl>
            <c:dLbl>
              <c:idx val="6"/>
              <c:layout>
                <c:manualLayout>
                  <c:x val="-6.1271993305698269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27-44BC-8F4B-333F6AB45E31}"/>
                </c:ext>
              </c:extLst>
            </c:dLbl>
            <c:dLbl>
              <c:idx val="7"/>
              <c:layout>
                <c:manualLayout>
                  <c:x val="-6.1271993305698352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27-44BC-8F4B-333F6AB45E31}"/>
                </c:ext>
              </c:extLst>
            </c:dLbl>
            <c:dLbl>
              <c:idx val="8"/>
              <c:layout>
                <c:manualLayout>
                  <c:x val="-5.9079008577505858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27-44BC-8F4B-333F6AB45E31}"/>
                </c:ext>
              </c:extLst>
            </c:dLbl>
            <c:dLbl>
              <c:idx val="9"/>
              <c:layout>
                <c:manualLayout>
                  <c:x val="-6.1271993305698436E-2"/>
                  <c:y val="-6.9444444444444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27-44BC-8F4B-333F6AB45E31}"/>
                </c:ext>
              </c:extLst>
            </c:dLbl>
            <c:dLbl>
              <c:idx val="10"/>
              <c:layout>
                <c:manualLayout>
                  <c:x val="-6.1271993305698436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27-44BC-8F4B-333F6AB45E31}"/>
                </c:ext>
              </c:extLst>
            </c:dLbl>
            <c:dLbl>
              <c:idx val="11"/>
              <c:layout>
                <c:manualLayout>
                  <c:x val="-8.7719389127699741E-3"/>
                  <c:y val="-7.4074074074074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27-44BC-8F4B-333F6AB45E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Sheet3!$A$4:$A$17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Sheet3!$B$4:$B$17</c:f>
              <c:numCache>
                <c:formatCode>"₹"\ #,##0</c:formatCode>
                <c:ptCount val="12"/>
                <c:pt idx="0">
                  <c:v>287320.19</c:v>
                </c:pt>
                <c:pt idx="1">
                  <c:v>377376.56000000017</c:v>
                </c:pt>
                <c:pt idx="2">
                  <c:v>240007.88999999993</c:v>
                </c:pt>
                <c:pt idx="3">
                  <c:v>258282.45000000004</c:v>
                </c:pt>
                <c:pt idx="4">
                  <c:v>299300.80999999994</c:v>
                </c:pt>
                <c:pt idx="5">
                  <c:v>282709.02999999997</c:v>
                </c:pt>
                <c:pt idx="6">
                  <c:v>254616.48000000004</c:v>
                </c:pt>
                <c:pt idx="7">
                  <c:v>321221.52</c:v>
                </c:pt>
                <c:pt idx="8">
                  <c:v>278194.43</c:v>
                </c:pt>
                <c:pt idx="9">
                  <c:v>274796.86</c:v>
                </c:pt>
                <c:pt idx="10">
                  <c:v>252582.69</c:v>
                </c:pt>
                <c:pt idx="11">
                  <c:v>339866.1</c:v>
                </c:pt>
              </c:numCache>
            </c:numRef>
          </c:val>
          <c:smooth val="0"/>
          <c:extLst>
            <c:ext xmlns:c16="http://schemas.microsoft.com/office/drawing/2014/chart" uri="{C3380CC4-5D6E-409C-BE32-E72D297353CC}">
              <c16:uniqueId val="{0000000C-3627-44BC-8F4B-333F6AB45E31}"/>
            </c:ext>
          </c:extLst>
        </c:ser>
        <c:dLbls>
          <c:dLblPos val="ctr"/>
          <c:showLegendKey val="0"/>
          <c:showVal val="1"/>
          <c:showCatName val="0"/>
          <c:showSerName val="0"/>
          <c:showPercent val="0"/>
          <c:showBubbleSize val="0"/>
        </c:dLbls>
        <c:marker val="1"/>
        <c:smooth val="0"/>
        <c:axId val="385712016"/>
        <c:axId val="385712976"/>
      </c:lineChart>
      <c:catAx>
        <c:axId val="3857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85712976"/>
        <c:crosses val="autoZero"/>
        <c:auto val="1"/>
        <c:lblAlgn val="ctr"/>
        <c:lblOffset val="100"/>
        <c:noMultiLvlLbl val="0"/>
      </c:catAx>
      <c:valAx>
        <c:axId val="38571297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Project1.xlsx]Sheet4!PivotTable3</c:name>
    <c:fmtId val="4"/>
  </c:pivotSource>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effectLst/>
                <a:latin typeface="+mn-lt"/>
                <a:ea typeface="+mn-ea"/>
                <a:cs typeface="+mn-cs"/>
              </a:defRPr>
            </a:pPr>
            <a:r>
              <a:rPr lang="en-IN" sz="1400" b="1"/>
              <a:t>CATEGORY</a:t>
            </a:r>
            <a:r>
              <a:rPr lang="en-IN" sz="1400" b="1" baseline="0"/>
              <a:t> PERFORMANCE</a:t>
            </a:r>
            <a:endParaRPr lang="en-IN" sz="1400" b="1"/>
          </a:p>
        </c:rich>
      </c:tx>
      <c:layout>
        <c:manualLayout>
          <c:xMode val="edge"/>
          <c:yMode val="edge"/>
          <c:x val="5.97152230971128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Sheet4!$A$4:$A$8</c:f>
              <c:strCache>
                <c:ptCount val="4"/>
                <c:pt idx="0">
                  <c:v>Clothing</c:v>
                </c:pt>
                <c:pt idx="1">
                  <c:v>Electronics</c:v>
                </c:pt>
                <c:pt idx="2">
                  <c:v>Furniture</c:v>
                </c:pt>
                <c:pt idx="3">
                  <c:v>Grocery</c:v>
                </c:pt>
              </c:strCache>
            </c:strRef>
          </c:cat>
          <c:val>
            <c:numRef>
              <c:f>Sheet4!$B$4:$B$8</c:f>
              <c:numCache>
                <c:formatCode>General</c:formatCode>
                <c:ptCount val="4"/>
                <c:pt idx="0">
                  <c:v>1139280.8700000003</c:v>
                </c:pt>
                <c:pt idx="1">
                  <c:v>1188031.2499999998</c:v>
                </c:pt>
                <c:pt idx="2">
                  <c:v>1720201.8699999994</c:v>
                </c:pt>
                <c:pt idx="3">
                  <c:v>1342697.6900000002</c:v>
                </c:pt>
              </c:numCache>
            </c:numRef>
          </c:val>
          <c:extLst>
            <c:ext xmlns:c16="http://schemas.microsoft.com/office/drawing/2014/chart" uri="{C3380CC4-5D6E-409C-BE32-E72D297353CC}">
              <c16:uniqueId val="{00000000-BDF1-4697-9838-1DE270A88E9C}"/>
            </c:ext>
          </c:extLst>
        </c:ser>
        <c:dLbls>
          <c:dLblPos val="inEnd"/>
          <c:showLegendKey val="0"/>
          <c:showVal val="1"/>
          <c:showCatName val="0"/>
          <c:showSerName val="0"/>
          <c:showPercent val="0"/>
          <c:showBubbleSize val="0"/>
        </c:dLbls>
        <c:gapWidth val="41"/>
        <c:axId val="385718256"/>
        <c:axId val="385716816"/>
      </c:barChart>
      <c:catAx>
        <c:axId val="38571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5716816"/>
        <c:crosses val="autoZero"/>
        <c:auto val="1"/>
        <c:lblAlgn val="ctr"/>
        <c:lblOffset val="100"/>
        <c:noMultiLvlLbl val="0"/>
      </c:catAx>
      <c:valAx>
        <c:axId val="385716816"/>
        <c:scaling>
          <c:orientation val="minMax"/>
        </c:scaling>
        <c:delete val="1"/>
        <c:axPos val="l"/>
        <c:numFmt formatCode="General" sourceLinked="1"/>
        <c:majorTickMark val="none"/>
        <c:minorTickMark val="none"/>
        <c:tickLblPos val="nextTo"/>
        <c:crossAx val="38571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Project1.xlsx]Sheet7!PivotTable6</c:name>
    <c:fmtId val="6"/>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CUSTOMER SEGMENT ANALYSIS</a:t>
            </a:r>
          </a:p>
        </c:rich>
      </c:tx>
      <c:layout>
        <c:manualLayout>
          <c:xMode val="edge"/>
          <c:yMode val="edge"/>
          <c:x val="2.9354111986001755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Sum of 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Sheet7!$A$4:$A$7</c:f>
              <c:strCache>
                <c:ptCount val="3"/>
                <c:pt idx="0">
                  <c:v>Corporate</c:v>
                </c:pt>
                <c:pt idx="1">
                  <c:v>Retail</c:v>
                </c:pt>
                <c:pt idx="2">
                  <c:v>Wholesale</c:v>
                </c:pt>
              </c:strCache>
            </c:strRef>
          </c:cat>
          <c:val>
            <c:numRef>
              <c:f>Sheet7!$B$4:$B$7</c:f>
              <c:numCache>
                <c:formatCode>"₹"\ #,##0</c:formatCode>
                <c:ptCount val="3"/>
                <c:pt idx="0">
                  <c:v>1805269.9999999991</c:v>
                </c:pt>
                <c:pt idx="1">
                  <c:v>1791841.929999999</c:v>
                </c:pt>
                <c:pt idx="2">
                  <c:v>1793099.75</c:v>
                </c:pt>
              </c:numCache>
            </c:numRef>
          </c:val>
          <c:extLst>
            <c:ext xmlns:c16="http://schemas.microsoft.com/office/drawing/2014/chart" uri="{C3380CC4-5D6E-409C-BE32-E72D297353CC}">
              <c16:uniqueId val="{00000000-C77C-4C4F-B542-01290294F5CB}"/>
            </c:ext>
          </c:extLst>
        </c:ser>
        <c:ser>
          <c:idx val="1"/>
          <c:order val="1"/>
          <c:tx>
            <c:strRef>
              <c:f>Sheet7!$C$3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Sheet7!$A$4:$A$7</c:f>
              <c:strCache>
                <c:ptCount val="3"/>
                <c:pt idx="0">
                  <c:v>Corporate</c:v>
                </c:pt>
                <c:pt idx="1">
                  <c:v>Retail</c:v>
                </c:pt>
                <c:pt idx="2">
                  <c:v>Wholesale</c:v>
                </c:pt>
              </c:strCache>
            </c:strRef>
          </c:cat>
          <c:val>
            <c:numRef>
              <c:f>Sheet7!$C$4:$C$7</c:f>
              <c:numCache>
                <c:formatCode>"₹"\ #,##0</c:formatCode>
                <c:ptCount val="3"/>
                <c:pt idx="0">
                  <c:v>336221.67999999993</c:v>
                </c:pt>
                <c:pt idx="1">
                  <c:v>356046.9600000002</c:v>
                </c:pt>
                <c:pt idx="2">
                  <c:v>305023.04999999993</c:v>
                </c:pt>
              </c:numCache>
            </c:numRef>
          </c:val>
          <c:extLst>
            <c:ext xmlns:c16="http://schemas.microsoft.com/office/drawing/2014/chart" uri="{C3380CC4-5D6E-409C-BE32-E72D297353CC}">
              <c16:uniqueId val="{00000001-C77C-4C4F-B542-01290294F5CB}"/>
            </c:ext>
          </c:extLst>
        </c:ser>
        <c:dLbls>
          <c:dLblPos val="ctr"/>
          <c:showLegendKey val="0"/>
          <c:showVal val="1"/>
          <c:showCatName val="0"/>
          <c:showSerName val="0"/>
          <c:showPercent val="0"/>
          <c:showBubbleSize val="0"/>
        </c:dLbls>
        <c:gapWidth val="150"/>
        <c:overlap val="100"/>
        <c:axId val="385721616"/>
        <c:axId val="385725456"/>
      </c:barChart>
      <c:catAx>
        <c:axId val="3857216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5725456"/>
        <c:crosses val="autoZero"/>
        <c:auto val="1"/>
        <c:lblAlgn val="ctr"/>
        <c:lblOffset val="100"/>
        <c:noMultiLvlLbl val="0"/>
      </c:catAx>
      <c:valAx>
        <c:axId val="385725456"/>
        <c:scaling>
          <c:orientation val="minMax"/>
        </c:scaling>
        <c:delete val="1"/>
        <c:axPos val="l"/>
        <c:numFmt formatCode="&quot;₹&quot;\ #,##0" sourceLinked="1"/>
        <c:majorTickMark val="none"/>
        <c:minorTickMark val="none"/>
        <c:tickLblPos val="nextTo"/>
        <c:crossAx val="38572161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Project1.xlsx]Sheet5!PivotTable4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PROFIT</a:t>
            </a:r>
            <a:r>
              <a:rPr lang="en-IN" sz="1400" b="1" baseline="0"/>
              <a:t> BY </a:t>
            </a:r>
            <a:r>
              <a:rPr lang="en-IN" sz="1400" b="1"/>
              <a:t>BRAND</a:t>
            </a:r>
            <a:r>
              <a:rPr lang="en-IN" sz="1400" b="1" baseline="0"/>
              <a:t>  </a:t>
            </a:r>
            <a:endParaRPr lang="en-IN" sz="1400" b="1"/>
          </a:p>
        </c:rich>
      </c:tx>
      <c:layout>
        <c:manualLayout>
          <c:xMode val="edge"/>
          <c:yMode val="edge"/>
          <c:x val="0.15943749519753789"/>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7203733585691"/>
          <c:y val="8.3333333333333329E-2"/>
          <c:w val="0.82342246702983379"/>
          <c:h val="0.89814814814814814"/>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Brandd</c:v>
                </c:pt>
                <c:pt idx="1">
                  <c:v>Brandc</c:v>
                </c:pt>
                <c:pt idx="2">
                  <c:v>Brandb</c:v>
                </c:pt>
                <c:pt idx="3">
                  <c:v>Branda</c:v>
                </c:pt>
              </c:strCache>
            </c:strRef>
          </c:cat>
          <c:val>
            <c:numRef>
              <c:f>Sheet5!$B$4:$B$8</c:f>
              <c:numCache>
                <c:formatCode>"₹"\ #,##0</c:formatCode>
                <c:ptCount val="4"/>
                <c:pt idx="0">
                  <c:v>217105.83000000007</c:v>
                </c:pt>
                <c:pt idx="1">
                  <c:v>132575.31000000003</c:v>
                </c:pt>
                <c:pt idx="2">
                  <c:v>235376.71000000002</c:v>
                </c:pt>
                <c:pt idx="3">
                  <c:v>412233.84</c:v>
                </c:pt>
              </c:numCache>
            </c:numRef>
          </c:val>
          <c:extLst>
            <c:ext xmlns:c16="http://schemas.microsoft.com/office/drawing/2014/chart" uri="{C3380CC4-5D6E-409C-BE32-E72D297353CC}">
              <c16:uniqueId val="{00000000-6C9B-47B3-8D20-F8151994C9E9}"/>
            </c:ext>
          </c:extLst>
        </c:ser>
        <c:dLbls>
          <c:dLblPos val="outEnd"/>
          <c:showLegendKey val="0"/>
          <c:showVal val="1"/>
          <c:showCatName val="0"/>
          <c:showSerName val="0"/>
          <c:showPercent val="0"/>
          <c:showBubbleSize val="0"/>
        </c:dLbls>
        <c:gapWidth val="182"/>
        <c:axId val="548161472"/>
        <c:axId val="548161952"/>
      </c:barChart>
      <c:catAx>
        <c:axId val="54816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61952"/>
        <c:crosses val="autoZero"/>
        <c:auto val="1"/>
        <c:lblAlgn val="ctr"/>
        <c:lblOffset val="100"/>
        <c:noMultiLvlLbl val="0"/>
      </c:catAx>
      <c:valAx>
        <c:axId val="548161952"/>
        <c:scaling>
          <c:orientation val="minMax"/>
        </c:scaling>
        <c:delete val="1"/>
        <c:axPos val="b"/>
        <c:numFmt formatCode="&quot;₹&quot;\ #,##0" sourceLinked="1"/>
        <c:majorTickMark val="none"/>
        <c:minorTickMark val="none"/>
        <c:tickLblPos val="nextTo"/>
        <c:crossAx val="5481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Project1.xlsx]Sheet6!PivotTable5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STATE</a:t>
            </a:r>
            <a:endParaRPr lang="en-US" b="1"/>
          </a:p>
        </c:rich>
      </c:tx>
      <c:layout>
        <c:manualLayout>
          <c:xMode val="edge"/>
          <c:yMode val="edge"/>
          <c:x val="7.8247429004596455E-2"/>
          <c:y val="2.7777825654863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Delhi</c:v>
                </c:pt>
                <c:pt idx="1">
                  <c:v>Karnataka</c:v>
                </c:pt>
                <c:pt idx="2">
                  <c:v>Maharashtra</c:v>
                </c:pt>
                <c:pt idx="3">
                  <c:v>Tamil Nadu</c:v>
                </c:pt>
                <c:pt idx="4">
                  <c:v>Telangana</c:v>
                </c:pt>
                <c:pt idx="5">
                  <c:v>West Bengal</c:v>
                </c:pt>
              </c:strCache>
            </c:strRef>
          </c:cat>
          <c:val>
            <c:numRef>
              <c:f>Sheet6!$B$4:$B$10</c:f>
              <c:numCache>
                <c:formatCode>"₹"\ #,##0</c:formatCode>
                <c:ptCount val="6"/>
                <c:pt idx="0">
                  <c:v>1150553.9500000002</c:v>
                </c:pt>
                <c:pt idx="1">
                  <c:v>825447.35000000056</c:v>
                </c:pt>
                <c:pt idx="2">
                  <c:v>1045926.2</c:v>
                </c:pt>
                <c:pt idx="3">
                  <c:v>665596.22</c:v>
                </c:pt>
                <c:pt idx="4">
                  <c:v>873621.79</c:v>
                </c:pt>
                <c:pt idx="5">
                  <c:v>829066.16999999981</c:v>
                </c:pt>
              </c:numCache>
            </c:numRef>
          </c:val>
          <c:extLst>
            <c:ext xmlns:c16="http://schemas.microsoft.com/office/drawing/2014/chart" uri="{C3380CC4-5D6E-409C-BE32-E72D297353CC}">
              <c16:uniqueId val="{00000000-DCF5-40E1-AF29-2750B7FA4A05}"/>
            </c:ext>
          </c:extLst>
        </c:ser>
        <c:dLbls>
          <c:dLblPos val="outEnd"/>
          <c:showLegendKey val="0"/>
          <c:showVal val="1"/>
          <c:showCatName val="0"/>
          <c:showSerName val="0"/>
          <c:showPercent val="0"/>
          <c:showBubbleSize val="0"/>
        </c:dLbls>
        <c:gapWidth val="182"/>
        <c:axId val="385725936"/>
        <c:axId val="385724496"/>
      </c:barChart>
      <c:catAx>
        <c:axId val="38572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24496"/>
        <c:crosses val="autoZero"/>
        <c:auto val="1"/>
        <c:lblAlgn val="ctr"/>
        <c:lblOffset val="100"/>
        <c:noMultiLvlLbl val="0"/>
      </c:catAx>
      <c:valAx>
        <c:axId val="385724496"/>
        <c:scaling>
          <c:orientation val="minMax"/>
        </c:scaling>
        <c:delete val="1"/>
        <c:axPos val="b"/>
        <c:numFmt formatCode="&quot;₹&quot;\ #,##0" sourceLinked="1"/>
        <c:majorTickMark val="none"/>
        <c:minorTickMark val="none"/>
        <c:tickLblPos val="nextTo"/>
        <c:crossAx val="3857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10" Type="http://schemas.openxmlformats.org/officeDocument/2006/relationships/image" Target="../media/image5.jpe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287443</xdr:colOff>
      <xdr:row>1</xdr:row>
      <xdr:rowOff>76623</xdr:rowOff>
    </xdr:from>
    <xdr:to>
      <xdr:col>20</xdr:col>
      <xdr:colOff>504613</xdr:colOff>
      <xdr:row>16</xdr:row>
      <xdr:rowOff>76623</xdr:rowOff>
    </xdr:to>
    <xdr:graphicFrame macro="">
      <xdr:nvGraphicFramePr>
        <xdr:cNvPr id="2" name="Chart 1">
          <a:extLst>
            <a:ext uri="{FF2B5EF4-FFF2-40B4-BE49-F238E27FC236}">
              <a16:creationId xmlns:a16="http://schemas.microsoft.com/office/drawing/2014/main" id="{A71E4905-B8E0-F7C1-CA32-7A3AB40F1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xdr:colOff>
      <xdr:row>6</xdr:row>
      <xdr:rowOff>41910</xdr:rowOff>
    </xdr:from>
    <xdr:to>
      <xdr:col>12</xdr:col>
      <xdr:colOff>304800</xdr:colOff>
      <xdr:row>21</xdr:row>
      <xdr:rowOff>41910</xdr:rowOff>
    </xdr:to>
    <xdr:graphicFrame macro="">
      <xdr:nvGraphicFramePr>
        <xdr:cNvPr id="2" name="Chart 1">
          <a:extLst>
            <a:ext uri="{FF2B5EF4-FFF2-40B4-BE49-F238E27FC236}">
              <a16:creationId xmlns:a16="http://schemas.microsoft.com/office/drawing/2014/main" id="{BABBA5AE-27E9-F746-664E-443689075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762006</xdr:colOff>
      <xdr:row>8</xdr:row>
      <xdr:rowOff>171450</xdr:rowOff>
    </xdr:from>
    <xdr:to>
      <xdr:col>8</xdr:col>
      <xdr:colOff>541026</xdr:colOff>
      <xdr:row>23</xdr:row>
      <xdr:rowOff>171450</xdr:rowOff>
    </xdr:to>
    <xdr:graphicFrame macro="">
      <xdr:nvGraphicFramePr>
        <xdr:cNvPr id="2" name="Chart 1">
          <a:extLst>
            <a:ext uri="{FF2B5EF4-FFF2-40B4-BE49-F238E27FC236}">
              <a16:creationId xmlns:a16="http://schemas.microsoft.com/office/drawing/2014/main" id="{F97048E9-FD73-E160-BFF5-E9B36A197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1264920</xdr:colOff>
      <xdr:row>6</xdr:row>
      <xdr:rowOff>148590</xdr:rowOff>
    </xdr:from>
    <xdr:to>
      <xdr:col>11</xdr:col>
      <xdr:colOff>15240</xdr:colOff>
      <xdr:row>21</xdr:row>
      <xdr:rowOff>148590</xdr:rowOff>
    </xdr:to>
    <xdr:graphicFrame macro="">
      <xdr:nvGraphicFramePr>
        <xdr:cNvPr id="2" name="Chart 1">
          <a:extLst>
            <a:ext uri="{FF2B5EF4-FFF2-40B4-BE49-F238E27FC236}">
              <a16:creationId xmlns:a16="http://schemas.microsoft.com/office/drawing/2014/main" id="{D0FDEF02-33B5-99E9-F799-C0CB98A8A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76206</xdr:colOff>
      <xdr:row>4</xdr:row>
      <xdr:rowOff>49530</xdr:rowOff>
    </xdr:from>
    <xdr:to>
      <xdr:col>12</xdr:col>
      <xdr:colOff>381006</xdr:colOff>
      <xdr:row>19</xdr:row>
      <xdr:rowOff>49530</xdr:rowOff>
    </xdr:to>
    <xdr:graphicFrame macro="">
      <xdr:nvGraphicFramePr>
        <xdr:cNvPr id="2" name="Chart 1">
          <a:extLst>
            <a:ext uri="{FF2B5EF4-FFF2-40B4-BE49-F238E27FC236}">
              <a16:creationId xmlns:a16="http://schemas.microsoft.com/office/drawing/2014/main" id="{8F20DCF1-D116-F155-E03E-2A06F8F55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60966</xdr:colOff>
      <xdr:row>9</xdr:row>
      <xdr:rowOff>3810</xdr:rowOff>
    </xdr:from>
    <xdr:to>
      <xdr:col>6</xdr:col>
      <xdr:colOff>22866</xdr:colOff>
      <xdr:row>24</xdr:row>
      <xdr:rowOff>3810</xdr:rowOff>
    </xdr:to>
    <xdr:graphicFrame macro="">
      <xdr:nvGraphicFramePr>
        <xdr:cNvPr id="2" name="Chart 1">
          <a:extLst>
            <a:ext uri="{FF2B5EF4-FFF2-40B4-BE49-F238E27FC236}">
              <a16:creationId xmlns:a16="http://schemas.microsoft.com/office/drawing/2014/main" id="{34FB31C9-FA4F-3DA7-9B57-7556FE5A3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xdr:colOff>
      <xdr:row>25</xdr:row>
      <xdr:rowOff>38100</xdr:rowOff>
    </xdr:from>
    <xdr:to>
      <xdr:col>13</xdr:col>
      <xdr:colOff>22860</xdr:colOff>
      <xdr:row>29</xdr:row>
      <xdr:rowOff>144779</xdr:rowOff>
    </xdr:to>
    <mc:AlternateContent xmlns:mc="http://schemas.openxmlformats.org/markup-compatibility/2006" xmlns:a14="http://schemas.microsoft.com/office/drawing/2010/main">
      <mc:Choice Requires="a14">
        <xdr:graphicFrame macro="">
          <xdr:nvGraphicFramePr>
            <xdr:cNvPr id="4" name="Payment_Mode">
              <a:extLst>
                <a:ext uri="{FF2B5EF4-FFF2-40B4-BE49-F238E27FC236}">
                  <a16:creationId xmlns:a16="http://schemas.microsoft.com/office/drawing/2014/main" id="{35205F1D-3FAA-0951-7429-893F6C5747A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7071360" y="4610100"/>
              <a:ext cx="182880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18</xdr:row>
      <xdr:rowOff>22860</xdr:rowOff>
    </xdr:from>
    <xdr:to>
      <xdr:col>13</xdr:col>
      <xdr:colOff>15240</xdr:colOff>
      <xdr:row>25</xdr:row>
      <xdr:rowOff>15240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9308A114-0BFA-97F1-385D-6FF4FDCCDC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63740" y="3314700"/>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30</xdr:row>
      <xdr:rowOff>0</xdr:rowOff>
    </xdr:from>
    <xdr:to>
      <xdr:col>13</xdr:col>
      <xdr:colOff>15240</xdr:colOff>
      <xdr:row>35</xdr:row>
      <xdr:rowOff>144780</xdr:rowOff>
    </xdr:to>
    <mc:AlternateContent xmlns:mc="http://schemas.openxmlformats.org/markup-compatibility/2006" xmlns:a14="http://schemas.microsoft.com/office/drawing/2010/main">
      <mc:Choice Requires="a14">
        <xdr:graphicFrame macro="">
          <xdr:nvGraphicFramePr>
            <xdr:cNvPr id="6" name="Customer_Segment">
              <a:extLst>
                <a:ext uri="{FF2B5EF4-FFF2-40B4-BE49-F238E27FC236}">
                  <a16:creationId xmlns:a16="http://schemas.microsoft.com/office/drawing/2014/main" id="{702E26A2-62B6-E416-9BB9-0B5611ED323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063740" y="5486400"/>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36</xdr:row>
      <xdr:rowOff>7620</xdr:rowOff>
    </xdr:from>
    <xdr:to>
      <xdr:col>13</xdr:col>
      <xdr:colOff>15240</xdr:colOff>
      <xdr:row>42</xdr:row>
      <xdr:rowOff>137160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D0374AB-6F7D-46C8-5EF2-5872C3ADF3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63740" y="659130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xdr:colOff>
      <xdr:row>18</xdr:row>
      <xdr:rowOff>0</xdr:rowOff>
    </xdr:from>
    <xdr:to>
      <xdr:col>18</xdr:col>
      <xdr:colOff>342900</xdr:colOff>
      <xdr:row>25</xdr:row>
      <xdr:rowOff>15240</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651F0729-AEC2-1FB6-02EF-09264D74C88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930640" y="3291840"/>
              <a:ext cx="333756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144780</xdr:colOff>
      <xdr:row>31</xdr:row>
      <xdr:rowOff>99061</xdr:rowOff>
    </xdr:from>
    <xdr:to>
      <xdr:col>2</xdr:col>
      <xdr:colOff>30480</xdr:colOff>
      <xdr:row>37</xdr:row>
      <xdr:rowOff>7620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28FE5AC-20C0-D8A5-1640-B2A1E56B82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780" y="5768341"/>
              <a:ext cx="182880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24</xdr:row>
      <xdr:rowOff>137161</xdr:rowOff>
    </xdr:from>
    <xdr:to>
      <xdr:col>4</xdr:col>
      <xdr:colOff>579120</xdr:colOff>
      <xdr:row>36</xdr:row>
      <xdr:rowOff>53341</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EF98131A-4E4C-1588-F4C3-A7758C8AB8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95500" y="452628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24</xdr:row>
      <xdr:rowOff>114301</xdr:rowOff>
    </xdr:from>
    <xdr:to>
      <xdr:col>2</xdr:col>
      <xdr:colOff>45720</xdr:colOff>
      <xdr:row>31</xdr:row>
      <xdr:rowOff>30481</xdr:rowOff>
    </xdr:to>
    <mc:AlternateContent xmlns:mc="http://schemas.openxmlformats.org/markup-compatibility/2006" xmlns:a14="http://schemas.microsoft.com/office/drawing/2010/main">
      <mc:Choice Requires="a14">
        <xdr:graphicFrame macro="">
          <xdr:nvGraphicFramePr>
            <xdr:cNvPr id="10" name="Customer_Segment 2">
              <a:extLst>
                <a:ext uri="{FF2B5EF4-FFF2-40B4-BE49-F238E27FC236}">
                  <a16:creationId xmlns:a16="http://schemas.microsoft.com/office/drawing/2014/main" id="{3C0F339C-8A97-7766-3C90-44A18A05F74D}"/>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160020" y="450342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37</xdr:row>
      <xdr:rowOff>60961</xdr:rowOff>
    </xdr:from>
    <xdr:to>
      <xdr:col>2</xdr:col>
      <xdr:colOff>45720</xdr:colOff>
      <xdr:row>45</xdr:row>
      <xdr:rowOff>121921</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6980DCBF-D183-3CB5-D63E-5988660C721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0020" y="68275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104589</xdr:rowOff>
    </xdr:from>
    <xdr:to>
      <xdr:col>3</xdr:col>
      <xdr:colOff>209177</xdr:colOff>
      <xdr:row>48</xdr:row>
      <xdr:rowOff>123116</xdr:rowOff>
    </xdr:to>
    <xdr:sp macro="" textlink="">
      <xdr:nvSpPr>
        <xdr:cNvPr id="71" name="Rectangle 70">
          <a:extLst>
            <a:ext uri="{FF2B5EF4-FFF2-40B4-BE49-F238E27FC236}">
              <a16:creationId xmlns:a16="http://schemas.microsoft.com/office/drawing/2014/main" id="{298A32C4-C48C-2DB5-F019-D40FB8736D72}"/>
            </a:ext>
          </a:extLst>
        </xdr:cNvPr>
        <xdr:cNvSpPr/>
      </xdr:nvSpPr>
      <xdr:spPr>
        <a:xfrm>
          <a:off x="0" y="1009464"/>
          <a:ext cx="2133227" cy="78004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28220</xdr:colOff>
      <xdr:row>0</xdr:row>
      <xdr:rowOff>0</xdr:rowOff>
    </xdr:from>
    <xdr:to>
      <xdr:col>26</xdr:col>
      <xdr:colOff>463177</xdr:colOff>
      <xdr:row>4</xdr:row>
      <xdr:rowOff>162700</xdr:rowOff>
    </xdr:to>
    <xdr:sp macro="" textlink="">
      <xdr:nvSpPr>
        <xdr:cNvPr id="2" name="Rectangle: Rounded Corners 1">
          <a:extLst>
            <a:ext uri="{FF2B5EF4-FFF2-40B4-BE49-F238E27FC236}">
              <a16:creationId xmlns:a16="http://schemas.microsoft.com/office/drawing/2014/main" id="{D3BDE1F2-1A9C-BF96-9436-8F3DF5487007}"/>
            </a:ext>
          </a:extLst>
        </xdr:cNvPr>
        <xdr:cNvSpPr/>
      </xdr:nvSpPr>
      <xdr:spPr>
        <a:xfrm>
          <a:off x="28220" y="0"/>
          <a:ext cx="16379807" cy="886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a:t>
          </a:r>
        </a:p>
      </xdr:txBody>
    </xdr:sp>
    <xdr:clientData/>
  </xdr:twoCellAnchor>
  <xdr:twoCellAnchor>
    <xdr:from>
      <xdr:col>8</xdr:col>
      <xdr:colOff>116758</xdr:colOff>
      <xdr:row>1</xdr:row>
      <xdr:rowOff>51022</xdr:rowOff>
    </xdr:from>
    <xdr:to>
      <xdr:col>18</xdr:col>
      <xdr:colOff>284992</xdr:colOff>
      <xdr:row>4</xdr:row>
      <xdr:rowOff>1542</xdr:rowOff>
    </xdr:to>
    <xdr:sp macro="" textlink="">
      <xdr:nvSpPr>
        <xdr:cNvPr id="20" name="TextBox 19">
          <a:extLst>
            <a:ext uri="{FF2B5EF4-FFF2-40B4-BE49-F238E27FC236}">
              <a16:creationId xmlns:a16="http://schemas.microsoft.com/office/drawing/2014/main" id="{B4DE53F5-D22F-E4E7-7864-3234F31E4505}"/>
            </a:ext>
          </a:extLst>
        </xdr:cNvPr>
        <xdr:cNvSpPr txBox="1"/>
      </xdr:nvSpPr>
      <xdr:spPr>
        <a:xfrm>
          <a:off x="5088808" y="231997"/>
          <a:ext cx="6264234" cy="493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rgbClr val="002060"/>
              </a:solidFill>
            </a:rPr>
            <a:t>Sales Performance Dashboard</a:t>
          </a:r>
        </a:p>
      </xdr:txBody>
    </xdr:sp>
    <xdr:clientData/>
  </xdr:twoCellAnchor>
  <xdr:twoCellAnchor>
    <xdr:from>
      <xdr:col>21</xdr:col>
      <xdr:colOff>312550</xdr:colOff>
      <xdr:row>5</xdr:row>
      <xdr:rowOff>173882</xdr:rowOff>
    </xdr:from>
    <xdr:to>
      <xdr:col>26</xdr:col>
      <xdr:colOff>489609</xdr:colOff>
      <xdr:row>11</xdr:row>
      <xdr:rowOff>143403</xdr:rowOff>
    </xdr:to>
    <xdr:grpSp>
      <xdr:nvGrpSpPr>
        <xdr:cNvPr id="43" name="Group 42">
          <a:extLst>
            <a:ext uri="{FF2B5EF4-FFF2-40B4-BE49-F238E27FC236}">
              <a16:creationId xmlns:a16="http://schemas.microsoft.com/office/drawing/2014/main" id="{53BB99A7-82AF-FEB0-D5DD-16FDEDED98FD}"/>
            </a:ext>
          </a:extLst>
        </xdr:cNvPr>
        <xdr:cNvGrpSpPr/>
      </xdr:nvGrpSpPr>
      <xdr:grpSpPr>
        <a:xfrm>
          <a:off x="13209400" y="1078757"/>
          <a:ext cx="3225059" cy="1055371"/>
          <a:chOff x="11174785" y="1089178"/>
          <a:chExt cx="3240000" cy="1045285"/>
        </a:xfrm>
      </xdr:grpSpPr>
      <xdr:sp macro="" textlink="">
        <xdr:nvSpPr>
          <xdr:cNvPr id="6" name="Rectangle: Rounded Corners 5">
            <a:extLst>
              <a:ext uri="{FF2B5EF4-FFF2-40B4-BE49-F238E27FC236}">
                <a16:creationId xmlns:a16="http://schemas.microsoft.com/office/drawing/2014/main" id="{86B82BD9-AB1B-4092-BADE-DB8BF0A33585}"/>
              </a:ext>
            </a:extLst>
          </xdr:cNvPr>
          <xdr:cNvSpPr/>
        </xdr:nvSpPr>
        <xdr:spPr>
          <a:xfrm>
            <a:off x="11174785" y="1089178"/>
            <a:ext cx="3240000" cy="10452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B21">
        <xdr:nvSpPr>
          <xdr:cNvPr id="27" name="TextBox 26">
            <a:extLst>
              <a:ext uri="{FF2B5EF4-FFF2-40B4-BE49-F238E27FC236}">
                <a16:creationId xmlns:a16="http://schemas.microsoft.com/office/drawing/2014/main" id="{54EEBF30-4690-1A94-A550-36DCED594EF4}"/>
              </a:ext>
            </a:extLst>
          </xdr:cNvPr>
          <xdr:cNvSpPr txBox="1"/>
        </xdr:nvSpPr>
        <xdr:spPr>
          <a:xfrm>
            <a:off x="12575537" y="1594196"/>
            <a:ext cx="1440780" cy="366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47D346-BB0A-4674-8809-A1D4752BED4A}" type="TxLink">
              <a:rPr lang="en-US" sz="2400" b="1" i="0" u="none" strike="noStrike">
                <a:solidFill>
                  <a:srgbClr val="000000"/>
                </a:solidFill>
                <a:latin typeface="Aptos Narrow"/>
              </a:rPr>
              <a:pPr/>
              <a:t> ₹ 13.5K</a:t>
            </a:fld>
            <a:endParaRPr lang="en-IN" sz="19900" b="1"/>
          </a:p>
        </xdr:txBody>
      </xdr:sp>
      <xdr:sp macro="" textlink="">
        <xdr:nvSpPr>
          <xdr:cNvPr id="28" name="TextBox 27">
            <a:extLst>
              <a:ext uri="{FF2B5EF4-FFF2-40B4-BE49-F238E27FC236}">
                <a16:creationId xmlns:a16="http://schemas.microsoft.com/office/drawing/2014/main" id="{1F1F9D8E-0D0D-1BEA-B433-7363848CBFAC}"/>
              </a:ext>
            </a:extLst>
          </xdr:cNvPr>
          <xdr:cNvSpPr txBox="1"/>
        </xdr:nvSpPr>
        <xdr:spPr>
          <a:xfrm>
            <a:off x="12218368" y="1250232"/>
            <a:ext cx="1982347" cy="3795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000000"/>
                </a:solidFill>
                <a:latin typeface="Aptos Narrow"/>
              </a:rPr>
              <a:t>AVG</a:t>
            </a:r>
            <a:r>
              <a:rPr lang="en-IN" sz="1800" b="1" i="0" u="none" strike="noStrike" baseline="0">
                <a:solidFill>
                  <a:srgbClr val="000000"/>
                </a:solidFill>
                <a:latin typeface="Aptos Narrow"/>
              </a:rPr>
              <a:t> ORDER VALUE</a:t>
            </a:r>
            <a:endParaRPr lang="en-IN" sz="1800" b="1" i="0" u="none" strike="noStrike">
              <a:solidFill>
                <a:srgbClr val="000000"/>
              </a:solidFill>
              <a:latin typeface="Aptos Narrow"/>
            </a:endParaRPr>
          </a:p>
        </xdr:txBody>
      </xdr:sp>
    </xdr:grpSp>
    <xdr:clientData/>
  </xdr:twoCellAnchor>
  <xdr:twoCellAnchor>
    <xdr:from>
      <xdr:col>3</xdr:col>
      <xdr:colOff>404735</xdr:colOff>
      <xdr:row>13</xdr:row>
      <xdr:rowOff>1137</xdr:rowOff>
    </xdr:from>
    <xdr:to>
      <xdr:col>18</xdr:col>
      <xdr:colOff>10223</xdr:colOff>
      <xdr:row>29</xdr:row>
      <xdr:rowOff>76209</xdr:rowOff>
    </xdr:to>
    <xdr:graphicFrame macro="">
      <xdr:nvGraphicFramePr>
        <xdr:cNvPr id="36" name="Chart 35">
          <a:extLst>
            <a:ext uri="{FF2B5EF4-FFF2-40B4-BE49-F238E27FC236}">
              <a16:creationId xmlns:a16="http://schemas.microsoft.com/office/drawing/2014/main" id="{B26A7528-3B64-4932-B8D8-E89A822E6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437693</xdr:colOff>
      <xdr:row>30</xdr:row>
      <xdr:rowOff>55422</xdr:rowOff>
    </xdr:from>
    <xdr:to>
      <xdr:col>11</xdr:col>
      <xdr:colOff>99652</xdr:colOff>
      <xdr:row>48</xdr:row>
      <xdr:rowOff>6928</xdr:rowOff>
    </xdr:to>
    <xdr:graphicFrame macro="">
      <xdr:nvGraphicFramePr>
        <xdr:cNvPr id="37" name="Chart 36">
          <a:extLst>
            <a:ext uri="{FF2B5EF4-FFF2-40B4-BE49-F238E27FC236}">
              <a16:creationId xmlns:a16="http://schemas.microsoft.com/office/drawing/2014/main" id="{621834A9-14BC-4F5E-BB3F-8E1B87FE3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359225</xdr:colOff>
      <xdr:row>30</xdr:row>
      <xdr:rowOff>55422</xdr:rowOff>
    </xdr:from>
    <xdr:to>
      <xdr:col>18</xdr:col>
      <xdr:colOff>569345</xdr:colOff>
      <xdr:row>48</xdr:row>
      <xdr:rowOff>6928</xdr:rowOff>
    </xdr:to>
    <xdr:graphicFrame macro="">
      <xdr:nvGraphicFramePr>
        <xdr:cNvPr id="38" name="Chart 37">
          <a:extLst>
            <a:ext uri="{FF2B5EF4-FFF2-40B4-BE49-F238E27FC236}">
              <a16:creationId xmlns:a16="http://schemas.microsoft.com/office/drawing/2014/main" id="{4963713A-C7AC-401D-9431-D25918690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237486</xdr:colOff>
      <xdr:row>13</xdr:row>
      <xdr:rowOff>5252</xdr:rowOff>
    </xdr:from>
    <xdr:to>
      <xdr:col>26</xdr:col>
      <xdr:colOff>435653</xdr:colOff>
      <xdr:row>29</xdr:row>
      <xdr:rowOff>72095</xdr:rowOff>
    </xdr:to>
    <xdr:graphicFrame macro="">
      <xdr:nvGraphicFramePr>
        <xdr:cNvPr id="64" name="Chart 63">
          <a:extLst>
            <a:ext uri="{FF2B5EF4-FFF2-40B4-BE49-F238E27FC236}">
              <a16:creationId xmlns:a16="http://schemas.microsoft.com/office/drawing/2014/main" id="{B6A93A75-B215-4067-AF23-2CEF08287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197380</xdr:colOff>
      <xdr:row>30</xdr:row>
      <xdr:rowOff>47159</xdr:rowOff>
    </xdr:from>
    <xdr:to>
      <xdr:col>26</xdr:col>
      <xdr:colOff>454769</xdr:colOff>
      <xdr:row>48</xdr:row>
      <xdr:rowOff>1904</xdr:rowOff>
    </xdr:to>
    <xdr:graphicFrame macro="">
      <xdr:nvGraphicFramePr>
        <xdr:cNvPr id="65" name="Chart 64">
          <a:extLst>
            <a:ext uri="{FF2B5EF4-FFF2-40B4-BE49-F238E27FC236}">
              <a16:creationId xmlns:a16="http://schemas.microsoft.com/office/drawing/2014/main" id="{3DA3422C-7E72-4312-A7CC-069A70C90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3714</xdr:colOff>
      <xdr:row>21</xdr:row>
      <xdr:rowOff>44822</xdr:rowOff>
    </xdr:from>
    <xdr:to>
      <xdr:col>3</xdr:col>
      <xdr:colOff>194237</xdr:colOff>
      <xdr:row>28</xdr:row>
      <xdr:rowOff>89647</xdr:rowOff>
    </xdr:to>
    <mc:AlternateContent xmlns:mc="http://schemas.openxmlformats.org/markup-compatibility/2006">
      <mc:Choice xmlns:a14="http://schemas.microsoft.com/office/drawing/2010/main" Requires="a14">
        <xdr:graphicFrame macro="">
          <xdr:nvGraphicFramePr>
            <xdr:cNvPr id="31" name="Payment_Mode 1">
              <a:extLst>
                <a:ext uri="{FF2B5EF4-FFF2-40B4-BE49-F238E27FC236}">
                  <a16:creationId xmlns:a16="http://schemas.microsoft.com/office/drawing/2014/main" id="{14AFE215-D895-4E1B-B19B-D1262F8683B1}"/>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3714" y="3845297"/>
              <a:ext cx="2114573" cy="131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18658</xdr:colOff>
      <xdr:row>28</xdr:row>
      <xdr:rowOff>140643</xdr:rowOff>
    </xdr:from>
    <xdr:to>
      <xdr:col>3</xdr:col>
      <xdr:colOff>224119</xdr:colOff>
      <xdr:row>37</xdr:row>
      <xdr:rowOff>74706</xdr:rowOff>
    </xdr:to>
    <mc:AlternateContent xmlns:mc="http://schemas.openxmlformats.org/markup-compatibility/2006">
      <mc:Choice xmlns:a14="http://schemas.microsoft.com/office/drawing/2010/main" Requires="a14">
        <xdr:graphicFrame macro="">
          <xdr:nvGraphicFramePr>
            <xdr:cNvPr id="33" name="Customer_Segment 1">
              <a:extLst>
                <a:ext uri="{FF2B5EF4-FFF2-40B4-BE49-F238E27FC236}">
                  <a16:creationId xmlns:a16="http://schemas.microsoft.com/office/drawing/2014/main" id="{E09ADA13-EA6E-443E-AB8D-32DD201CD947}"/>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8658" y="5207943"/>
              <a:ext cx="2129511" cy="1562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547874</xdr:colOff>
      <xdr:row>6</xdr:row>
      <xdr:rowOff>5943</xdr:rowOff>
    </xdr:from>
    <xdr:to>
      <xdr:col>9</xdr:col>
      <xdr:colOff>115333</xdr:colOff>
      <xdr:row>11</xdr:row>
      <xdr:rowOff>158344</xdr:rowOff>
    </xdr:to>
    <xdr:grpSp>
      <xdr:nvGrpSpPr>
        <xdr:cNvPr id="50" name="Group 49">
          <a:extLst>
            <a:ext uri="{FF2B5EF4-FFF2-40B4-BE49-F238E27FC236}">
              <a16:creationId xmlns:a16="http://schemas.microsoft.com/office/drawing/2014/main" id="{BD5FB329-9E7B-3E69-8CCB-FDC31C0E4CF7}"/>
            </a:ext>
          </a:extLst>
        </xdr:cNvPr>
        <xdr:cNvGrpSpPr/>
      </xdr:nvGrpSpPr>
      <xdr:grpSpPr>
        <a:xfrm>
          <a:off x="2471924" y="1091793"/>
          <a:ext cx="3225059" cy="1057276"/>
          <a:chOff x="670391" y="1089178"/>
          <a:chExt cx="3240000" cy="1045285"/>
        </a:xfrm>
      </xdr:grpSpPr>
      <xdr:sp macro="" textlink="">
        <xdr:nvSpPr>
          <xdr:cNvPr id="3" name="Rectangle: Rounded Corners 2">
            <a:extLst>
              <a:ext uri="{FF2B5EF4-FFF2-40B4-BE49-F238E27FC236}">
                <a16:creationId xmlns:a16="http://schemas.microsoft.com/office/drawing/2014/main" id="{C5240736-D2C9-C9A4-E100-3C2D8EBC7716}"/>
              </a:ext>
            </a:extLst>
          </xdr:cNvPr>
          <xdr:cNvSpPr/>
        </xdr:nvSpPr>
        <xdr:spPr>
          <a:xfrm>
            <a:off x="670391" y="1089178"/>
            <a:ext cx="3240000" cy="10452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18">
        <xdr:nvSpPr>
          <xdr:cNvPr id="17" name="TextBox 16">
            <a:extLst>
              <a:ext uri="{FF2B5EF4-FFF2-40B4-BE49-F238E27FC236}">
                <a16:creationId xmlns:a16="http://schemas.microsoft.com/office/drawing/2014/main" id="{8F2CD277-C26E-F219-B69D-DFA6FA31F00D}"/>
              </a:ext>
            </a:extLst>
          </xdr:cNvPr>
          <xdr:cNvSpPr txBox="1"/>
        </xdr:nvSpPr>
        <xdr:spPr>
          <a:xfrm>
            <a:off x="2300358" y="1588422"/>
            <a:ext cx="1185592" cy="378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9F3231-5E3C-418C-AC89-DCD350AD1CD6}" type="TxLink">
              <a:rPr lang="en-US" sz="2400" b="1" i="0" u="none" strike="noStrike">
                <a:solidFill>
                  <a:srgbClr val="000000"/>
                </a:solidFill>
                <a:latin typeface="Aptos Narrow"/>
              </a:rPr>
              <a:pPr/>
              <a:t> ₹ 5.39L</a:t>
            </a:fld>
            <a:endParaRPr lang="en-IN" sz="8000" b="1"/>
          </a:p>
        </xdr:txBody>
      </xdr:sp>
      <xdr:sp macro="" textlink="">
        <xdr:nvSpPr>
          <xdr:cNvPr id="18" name="TextBox 17">
            <a:extLst>
              <a:ext uri="{FF2B5EF4-FFF2-40B4-BE49-F238E27FC236}">
                <a16:creationId xmlns:a16="http://schemas.microsoft.com/office/drawing/2014/main" id="{CA5C484B-CF36-54C1-194E-752C03E91C27}"/>
              </a:ext>
            </a:extLst>
          </xdr:cNvPr>
          <xdr:cNvSpPr txBox="1"/>
        </xdr:nvSpPr>
        <xdr:spPr>
          <a:xfrm>
            <a:off x="2057785" y="1268214"/>
            <a:ext cx="1496925" cy="343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000000"/>
                </a:solidFill>
                <a:latin typeface="Aptos Narrow"/>
              </a:rPr>
              <a:t>TOTAL</a:t>
            </a:r>
            <a:r>
              <a:rPr lang="en-IN" sz="1800" b="1" i="0" u="none" strike="noStrike" baseline="0">
                <a:solidFill>
                  <a:srgbClr val="000000"/>
                </a:solidFill>
                <a:latin typeface="Aptos Narrow"/>
              </a:rPr>
              <a:t> SALES</a:t>
            </a:r>
            <a:endParaRPr lang="en-IN" sz="1800" b="1" i="0" u="none" strike="noStrike">
              <a:solidFill>
                <a:srgbClr val="000000"/>
              </a:solidFill>
              <a:latin typeface="Aptos Narrow"/>
            </a:endParaRPr>
          </a:p>
        </xdr:txBody>
      </xdr:sp>
    </xdr:grpSp>
    <xdr:clientData/>
  </xdr:twoCellAnchor>
  <xdr:twoCellAnchor>
    <xdr:from>
      <xdr:col>0</xdr:col>
      <xdr:colOff>19521</xdr:colOff>
      <xdr:row>37</xdr:row>
      <xdr:rowOff>129061</xdr:rowOff>
    </xdr:from>
    <xdr:to>
      <xdr:col>3</xdr:col>
      <xdr:colOff>203209</xdr:colOff>
      <xdr:row>48</xdr:row>
      <xdr:rowOff>104588</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5ACBD393-ABAB-48B6-884B-1C14691EFD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521" y="6825136"/>
              <a:ext cx="2107738" cy="1966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471425</xdr:colOff>
      <xdr:row>6</xdr:row>
      <xdr:rowOff>5943</xdr:rowOff>
    </xdr:from>
    <xdr:to>
      <xdr:col>15</xdr:col>
      <xdr:colOff>35895</xdr:colOff>
      <xdr:row>11</xdr:row>
      <xdr:rowOff>158344</xdr:rowOff>
    </xdr:to>
    <xdr:grpSp>
      <xdr:nvGrpSpPr>
        <xdr:cNvPr id="49" name="Group 48">
          <a:extLst>
            <a:ext uri="{FF2B5EF4-FFF2-40B4-BE49-F238E27FC236}">
              <a16:creationId xmlns:a16="http://schemas.microsoft.com/office/drawing/2014/main" id="{11C14DEE-5B6B-19E3-7AAB-F0438A202906}"/>
            </a:ext>
          </a:extLst>
        </xdr:cNvPr>
        <xdr:cNvGrpSpPr/>
      </xdr:nvGrpSpPr>
      <xdr:grpSpPr>
        <a:xfrm>
          <a:off x="6053075" y="1091793"/>
          <a:ext cx="3222070" cy="1057276"/>
          <a:chOff x="4152879" y="1089178"/>
          <a:chExt cx="3240000" cy="1045285"/>
        </a:xfrm>
      </xdr:grpSpPr>
      <xdr:sp macro="" textlink="">
        <xdr:nvSpPr>
          <xdr:cNvPr id="4" name="Rectangle: Rounded Corners 3">
            <a:extLst>
              <a:ext uri="{FF2B5EF4-FFF2-40B4-BE49-F238E27FC236}">
                <a16:creationId xmlns:a16="http://schemas.microsoft.com/office/drawing/2014/main" id="{3C9D4847-8FF1-1F9E-7F67-B0387F2ACE97}"/>
              </a:ext>
            </a:extLst>
          </xdr:cNvPr>
          <xdr:cNvSpPr/>
        </xdr:nvSpPr>
        <xdr:spPr>
          <a:xfrm>
            <a:off x="4152879" y="1089178"/>
            <a:ext cx="3240000" cy="10452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B18">
        <xdr:nvSpPr>
          <xdr:cNvPr id="19" name="TextBox 18">
            <a:extLst>
              <a:ext uri="{FF2B5EF4-FFF2-40B4-BE49-F238E27FC236}">
                <a16:creationId xmlns:a16="http://schemas.microsoft.com/office/drawing/2014/main" id="{55CDB0E2-1DC5-F58F-8BFE-7D42FE0B28C8}"/>
              </a:ext>
            </a:extLst>
          </xdr:cNvPr>
          <xdr:cNvSpPr txBox="1"/>
        </xdr:nvSpPr>
        <xdr:spPr>
          <a:xfrm>
            <a:off x="5974539" y="1606896"/>
            <a:ext cx="1079190" cy="341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344A89-2F2E-4410-914B-04891FD99181}" type="TxLink">
              <a:rPr lang="en-US" sz="2400" b="1" i="0" u="none" strike="noStrike">
                <a:solidFill>
                  <a:srgbClr val="000000"/>
                </a:solidFill>
                <a:latin typeface="Aptos Narrow"/>
              </a:rPr>
              <a:pPr/>
              <a:t>400</a:t>
            </a:fld>
            <a:endParaRPr lang="en-IN" sz="59500" b="1"/>
          </a:p>
        </xdr:txBody>
      </xdr:sp>
      <xdr:sp macro="" textlink="">
        <xdr:nvSpPr>
          <xdr:cNvPr id="29" name="TextBox 28">
            <a:extLst>
              <a:ext uri="{FF2B5EF4-FFF2-40B4-BE49-F238E27FC236}">
                <a16:creationId xmlns:a16="http://schemas.microsoft.com/office/drawing/2014/main" id="{C878C3EF-F423-8DD3-63FB-46890E4D5A09}"/>
              </a:ext>
            </a:extLst>
          </xdr:cNvPr>
          <xdr:cNvSpPr txBox="1"/>
        </xdr:nvSpPr>
        <xdr:spPr>
          <a:xfrm>
            <a:off x="5614368" y="1250232"/>
            <a:ext cx="1695359" cy="3795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000000"/>
                </a:solidFill>
                <a:latin typeface="Aptos Narrow"/>
              </a:rPr>
              <a:t>TOTAL</a:t>
            </a:r>
            <a:r>
              <a:rPr lang="en-IN" sz="1800" b="1" i="0" u="none" strike="noStrike" baseline="0">
                <a:solidFill>
                  <a:srgbClr val="000000"/>
                </a:solidFill>
                <a:latin typeface="Aptos Narrow"/>
              </a:rPr>
              <a:t> ORDERS</a:t>
            </a:r>
            <a:endParaRPr lang="en-IN" sz="1800" b="1" i="0" u="none" strike="noStrike">
              <a:solidFill>
                <a:srgbClr val="000000"/>
              </a:solidFill>
              <a:latin typeface="Aptos Narrow"/>
            </a:endParaRPr>
          </a:p>
        </xdr:txBody>
      </xdr:sp>
    </xdr:grpSp>
    <xdr:clientData/>
  </xdr:twoCellAnchor>
  <xdr:twoCellAnchor>
    <xdr:from>
      <xdr:col>15</xdr:col>
      <xdr:colOff>391987</xdr:colOff>
      <xdr:row>6</xdr:row>
      <xdr:rowOff>5943</xdr:rowOff>
    </xdr:from>
    <xdr:to>
      <xdr:col>20</xdr:col>
      <xdr:colOff>566058</xdr:colOff>
      <xdr:row>11</xdr:row>
      <xdr:rowOff>158344</xdr:rowOff>
    </xdr:to>
    <xdr:grpSp>
      <xdr:nvGrpSpPr>
        <xdr:cNvPr id="44" name="Group 43">
          <a:extLst>
            <a:ext uri="{FF2B5EF4-FFF2-40B4-BE49-F238E27FC236}">
              <a16:creationId xmlns:a16="http://schemas.microsoft.com/office/drawing/2014/main" id="{475A6314-2453-D87D-CD38-BE63C2320E3F}"/>
            </a:ext>
          </a:extLst>
        </xdr:cNvPr>
        <xdr:cNvGrpSpPr/>
      </xdr:nvGrpSpPr>
      <xdr:grpSpPr>
        <a:xfrm>
          <a:off x="9631237" y="1091793"/>
          <a:ext cx="3222071" cy="1057276"/>
          <a:chOff x="7697524" y="1089178"/>
          <a:chExt cx="3240000" cy="1045285"/>
        </a:xfrm>
      </xdr:grpSpPr>
      <xdr:sp macro="" textlink="">
        <xdr:nvSpPr>
          <xdr:cNvPr id="5" name="Rectangle: Rounded Corners 4">
            <a:extLst>
              <a:ext uri="{FF2B5EF4-FFF2-40B4-BE49-F238E27FC236}">
                <a16:creationId xmlns:a16="http://schemas.microsoft.com/office/drawing/2014/main" id="{79BBD785-C4AA-BEFB-3895-503D55D9A1BD}"/>
              </a:ext>
            </a:extLst>
          </xdr:cNvPr>
          <xdr:cNvSpPr/>
        </xdr:nvSpPr>
        <xdr:spPr>
          <a:xfrm>
            <a:off x="7697524" y="1089178"/>
            <a:ext cx="3240000" cy="10452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C18">
        <xdr:nvSpPr>
          <xdr:cNvPr id="30" name="TextBox 29">
            <a:extLst>
              <a:ext uri="{FF2B5EF4-FFF2-40B4-BE49-F238E27FC236}">
                <a16:creationId xmlns:a16="http://schemas.microsoft.com/office/drawing/2014/main" id="{BF38F0BD-3273-81E3-EA79-69FAAAB63C8D}"/>
              </a:ext>
            </a:extLst>
          </xdr:cNvPr>
          <xdr:cNvSpPr txBox="1"/>
        </xdr:nvSpPr>
        <xdr:spPr>
          <a:xfrm>
            <a:off x="9328231" y="1542649"/>
            <a:ext cx="1409245" cy="469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BDB41-51F0-4EAE-8172-F719F07BDE86}" type="TxLink">
              <a:rPr lang="en-US" sz="2400" b="1" i="0" u="none" strike="noStrike">
                <a:solidFill>
                  <a:srgbClr val="000000"/>
                </a:solidFill>
                <a:latin typeface="Aptos Narrow"/>
              </a:rPr>
              <a:pPr/>
              <a:t> ₹ 997.3K</a:t>
            </a:fld>
            <a:endParaRPr lang="en-IN" sz="19900" b="1"/>
          </a:p>
        </xdr:txBody>
      </xdr:sp>
      <xdr:sp macro="" textlink="">
        <xdr:nvSpPr>
          <xdr:cNvPr id="35" name="TextBox 34">
            <a:extLst>
              <a:ext uri="{FF2B5EF4-FFF2-40B4-BE49-F238E27FC236}">
                <a16:creationId xmlns:a16="http://schemas.microsoft.com/office/drawing/2014/main" id="{3EBAAC95-E214-8752-E720-1541E9076B82}"/>
              </a:ext>
            </a:extLst>
          </xdr:cNvPr>
          <xdr:cNvSpPr txBox="1"/>
        </xdr:nvSpPr>
        <xdr:spPr>
          <a:xfrm>
            <a:off x="9227028" y="1250232"/>
            <a:ext cx="1537993" cy="3795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000000"/>
                </a:solidFill>
                <a:latin typeface="Aptos Narrow"/>
              </a:rPr>
              <a:t>TOTAL</a:t>
            </a:r>
            <a:r>
              <a:rPr lang="en-IN" sz="1800" b="1" i="0" u="none" strike="noStrike" baseline="0">
                <a:solidFill>
                  <a:srgbClr val="000000"/>
                </a:solidFill>
                <a:latin typeface="Aptos Narrow"/>
              </a:rPr>
              <a:t> PROFIT</a:t>
            </a:r>
            <a:endParaRPr lang="en-IN" sz="1800" b="1" i="0" u="none" strike="noStrike">
              <a:solidFill>
                <a:srgbClr val="000000"/>
              </a:solidFill>
              <a:latin typeface="Aptos Narrow"/>
            </a:endParaRPr>
          </a:p>
        </xdr:txBody>
      </xdr:sp>
    </xdr:grpSp>
    <xdr:clientData/>
  </xdr:twoCellAnchor>
  <xdr:twoCellAnchor>
    <xdr:from>
      <xdr:col>0</xdr:col>
      <xdr:colOff>43181</xdr:colOff>
      <xdr:row>5</xdr:row>
      <xdr:rowOff>146198</xdr:rowOff>
    </xdr:from>
    <xdr:to>
      <xdr:col>3</xdr:col>
      <xdr:colOff>215154</xdr:colOff>
      <xdr:row>21</xdr:row>
      <xdr:rowOff>1904</xdr:rowOff>
    </xdr:to>
    <mc:AlternateContent xmlns:mc="http://schemas.openxmlformats.org/markup-compatibility/2006">
      <mc:Choice xmlns:a14="http://schemas.microsoft.com/office/drawing/2010/main" Requires="a14">
        <xdr:graphicFrame macro="">
          <xdr:nvGraphicFramePr>
            <xdr:cNvPr id="7" name="State 1">
              <a:extLst>
                <a:ext uri="{FF2B5EF4-FFF2-40B4-BE49-F238E27FC236}">
                  <a16:creationId xmlns:a16="http://schemas.microsoft.com/office/drawing/2014/main" id="{614C7213-566F-7196-93C0-4C8AFE93D66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43181" y="1051073"/>
              <a:ext cx="2096023" cy="275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239059</xdr:colOff>
      <xdr:row>6</xdr:row>
      <xdr:rowOff>119412</xdr:rowOff>
    </xdr:from>
    <xdr:to>
      <xdr:col>5</xdr:col>
      <xdr:colOff>436643</xdr:colOff>
      <xdr:row>11</xdr:row>
      <xdr:rowOff>14942</xdr:rowOff>
    </xdr:to>
    <xdr:pic>
      <xdr:nvPicPr>
        <xdr:cNvPr id="80" name="Picture 79" descr="Increase ">
          <a:extLst>
            <a:ext uri="{FF2B5EF4-FFF2-40B4-BE49-F238E27FC236}">
              <a16:creationId xmlns:a16="http://schemas.microsoft.com/office/drawing/2014/main" id="{2C42AB58-0EEA-DA96-7F9A-79C67D0790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772709" y="1205262"/>
          <a:ext cx="807184" cy="800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89647</xdr:colOff>
      <xdr:row>6</xdr:row>
      <xdr:rowOff>119412</xdr:rowOff>
    </xdr:from>
    <xdr:to>
      <xdr:col>11</xdr:col>
      <xdr:colOff>287230</xdr:colOff>
      <xdr:row>11</xdr:row>
      <xdr:rowOff>14942</xdr:rowOff>
    </xdr:to>
    <xdr:pic>
      <xdr:nvPicPr>
        <xdr:cNvPr id="81" name="Picture 80" descr="Interest rate ">
          <a:extLst>
            <a:ext uri="{FF2B5EF4-FFF2-40B4-BE49-F238E27FC236}">
              <a16:creationId xmlns:a16="http://schemas.microsoft.com/office/drawing/2014/main" id="{895D4685-1347-1540-0D42-9D287C1FE7B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80897" y="1205262"/>
          <a:ext cx="807183" cy="800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119531</xdr:colOff>
      <xdr:row>6</xdr:row>
      <xdr:rowOff>119412</xdr:rowOff>
    </xdr:from>
    <xdr:to>
      <xdr:col>17</xdr:col>
      <xdr:colOff>317115</xdr:colOff>
      <xdr:row>11</xdr:row>
      <xdr:rowOff>14942</xdr:rowOff>
    </xdr:to>
    <xdr:pic>
      <xdr:nvPicPr>
        <xdr:cNvPr id="82" name="Picture 81" descr="Check out ">
          <a:extLst>
            <a:ext uri="{FF2B5EF4-FFF2-40B4-BE49-F238E27FC236}">
              <a16:creationId xmlns:a16="http://schemas.microsoft.com/office/drawing/2014/main" id="{08201A29-D943-0586-2708-9114AAE63E3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8381" y="1205262"/>
          <a:ext cx="807184" cy="800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403413</xdr:colOff>
      <xdr:row>6</xdr:row>
      <xdr:rowOff>29883</xdr:rowOff>
    </xdr:from>
    <xdr:to>
      <xdr:col>23</xdr:col>
      <xdr:colOff>81353</xdr:colOff>
      <xdr:row>11</xdr:row>
      <xdr:rowOff>14942</xdr:rowOff>
    </xdr:to>
    <xdr:pic>
      <xdr:nvPicPr>
        <xdr:cNvPr id="83" name="Picture 82">
          <a:extLst>
            <a:ext uri="{FF2B5EF4-FFF2-40B4-BE49-F238E27FC236}">
              <a16:creationId xmlns:a16="http://schemas.microsoft.com/office/drawing/2014/main" id="{5F21C0B2-E30C-0CAB-49BE-B59DBE9DFB5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300263" y="1115733"/>
          <a:ext cx="897140" cy="889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236071</xdr:colOff>
      <xdr:row>0</xdr:row>
      <xdr:rowOff>67235</xdr:rowOff>
    </xdr:from>
    <xdr:to>
      <xdr:col>7</xdr:col>
      <xdr:colOff>602050</xdr:colOff>
      <xdr:row>4</xdr:row>
      <xdr:rowOff>135815</xdr:rowOff>
    </xdr:to>
    <xdr:pic>
      <xdr:nvPicPr>
        <xdr:cNvPr id="8" name="Picture 7" descr="Vector Design Retail Sales Icon Style">
          <a:extLst>
            <a:ext uri="{FF2B5EF4-FFF2-40B4-BE49-F238E27FC236}">
              <a16:creationId xmlns:a16="http://schemas.microsoft.com/office/drawing/2014/main" id="{7B367C5F-6118-DC90-1FF6-B31EC58A4AA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988921" y="67235"/>
          <a:ext cx="975579" cy="792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anth Sivganesan" refreshedDate="46082.580801851851" createdVersion="8" refreshedVersion="8" minRefreshableVersion="3" recordCount="400" xr:uid="{F5473304-37B1-4D8D-9135-ED66847CF4CA}">
  <cacheSource type="worksheet">
    <worksheetSource name="Orders"/>
  </cacheSource>
  <cacheFields count="29">
    <cacheField name="Order_ID" numFmtId="0">
      <sharedItems/>
    </cacheField>
    <cacheField name="Order_Date" numFmtId="14">
      <sharedItems containsSemiMixedTypes="0" containsNonDate="0" containsDate="1" containsString="0" minDate="2023-01-01T00:00:00" maxDate="2023-12-31T00:00:00" count="247">
        <d v="2023-06-26T00:00:00"/>
        <d v="2023-02-03T00:00:00"/>
        <d v="2023-03-12T00:00:00"/>
        <d v="2023-09-12T00:00:00"/>
        <d v="2023-12-12T00:00:00"/>
        <d v="2023-01-10T00:00:00"/>
        <d v="2023-12-02T00:00:00"/>
        <d v="2023-10-15T00:00:00"/>
        <d v="2023-12-21T00:00:00"/>
        <d v="2023-08-29T00:00:00"/>
        <d v="2023-04-04T00:00:00"/>
        <d v="2023-10-29T00:00:00"/>
        <d v="2023-02-08T00:00:00"/>
        <d v="2023-03-14T00:00:00"/>
        <d v="2023-09-21T00:00:00"/>
        <d v="2023-05-10T00:00:00"/>
        <d v="2023-08-09T00:00:00"/>
        <d v="2023-04-08T00:00:00"/>
        <d v="2023-11-29T00:00:00"/>
        <d v="2023-01-05T00:00:00"/>
        <d v="2023-02-09T00:00:00"/>
        <d v="2023-11-19T00:00:00"/>
        <d v="2023-10-27T00:00:00"/>
        <d v="2023-01-24T00:00:00"/>
        <d v="2023-06-30T00:00:00"/>
        <d v="2023-04-02T00:00:00"/>
        <d v="2023-05-05T00:00:00"/>
        <d v="2023-05-21T00:00:00"/>
        <d v="2023-07-08T00:00:00"/>
        <d v="2023-08-16T00:00:00"/>
        <d v="2023-10-25T00:00:00"/>
        <d v="2023-02-04T00:00:00"/>
        <d v="2023-08-03T00:00:00"/>
        <d v="2023-01-11T00:00:00"/>
        <d v="2023-10-28T00:00:00"/>
        <d v="2023-12-17T00:00:00"/>
        <d v="2023-06-16T00:00:00"/>
        <d v="2023-09-30T00:00:00"/>
        <d v="2023-06-21T00:00:00"/>
        <d v="2023-07-07T00:00:00"/>
        <d v="2023-02-21T00:00:00"/>
        <d v="2023-12-01T00:00:00"/>
        <d v="2023-06-08T00:00:00"/>
        <d v="2023-12-06T00:00:00"/>
        <d v="2023-12-30T00:00:00"/>
        <d v="2023-07-01T00:00:00"/>
        <d v="2023-05-25T00:00:00"/>
        <d v="2023-03-28T00:00:00"/>
        <d v="2023-10-30T00:00:00"/>
        <d v="2023-11-05T00:00:00"/>
        <d v="2023-03-23T00:00:00"/>
        <d v="2023-04-01T00:00:00"/>
        <d v="2023-05-15T00:00:00"/>
        <d v="2023-03-10T00:00:00"/>
        <d v="2023-03-07T00:00:00"/>
        <d v="2023-07-30T00:00:00"/>
        <d v="2023-07-24T00:00:00"/>
        <d v="2023-12-18T00:00:00"/>
        <d v="2023-02-11T00:00:00"/>
        <d v="2023-02-19T00:00:00"/>
        <d v="2023-10-12T00:00:00"/>
        <d v="2023-07-02T00:00:00"/>
        <d v="2023-01-15T00:00:00"/>
        <d v="2023-03-18T00:00:00"/>
        <d v="2023-07-20T00:00:00"/>
        <d v="2023-02-13T00:00:00"/>
        <d v="2023-08-13T00:00:00"/>
        <d v="2023-10-31T00:00:00"/>
        <d v="2023-09-01T00:00:00"/>
        <d v="2023-05-29T00:00:00"/>
        <d v="2023-11-26T00:00:00"/>
        <d v="2023-07-13T00:00:00"/>
        <d v="2023-11-03T00:00:00"/>
        <d v="2023-04-22T00:00:00"/>
        <d v="2023-08-14T00:00:00"/>
        <d v="2023-12-20T00:00:00"/>
        <d v="2023-08-30T00:00:00"/>
        <d v="2023-10-19T00:00:00"/>
        <d v="2023-11-25T00:00:00"/>
        <d v="2023-06-03T00:00:00"/>
        <d v="2023-03-19T00:00:00"/>
        <d v="2023-05-14T00:00:00"/>
        <d v="2023-04-24T00:00:00"/>
        <d v="2023-12-24T00:00:00"/>
        <d v="2023-06-14T00:00:00"/>
        <d v="2023-03-04T00:00:00"/>
        <d v="2023-11-15T00:00:00"/>
        <d v="2023-10-05T00:00:00"/>
        <d v="2023-09-08T00:00:00"/>
        <d v="2023-08-24T00:00:00"/>
        <d v="2023-06-05T00:00:00"/>
        <d v="2023-07-11T00:00:00"/>
        <d v="2023-09-25T00:00:00"/>
        <d v="2023-12-29T00:00:00"/>
        <d v="2023-01-18T00:00:00"/>
        <d v="2023-07-04T00:00:00"/>
        <d v="2023-09-18T00:00:00"/>
        <d v="2023-08-27T00:00:00"/>
        <d v="2023-07-06T00:00:00"/>
        <d v="2023-02-28T00:00:00"/>
        <d v="2023-11-22T00:00:00"/>
        <d v="2023-01-12T00:00:00"/>
        <d v="2023-09-04T00:00:00"/>
        <d v="2023-01-03T00:00:00"/>
        <d v="2023-07-15T00:00:00"/>
        <d v="2023-07-14T00:00:00"/>
        <d v="2023-05-01T00:00:00"/>
        <d v="2023-08-28T00:00:00"/>
        <d v="2023-03-25T00:00:00"/>
        <d v="2023-12-22T00:00:00"/>
        <d v="2023-07-22T00:00:00"/>
        <d v="2023-04-26T00:00:00"/>
        <d v="2023-08-21T00:00:00"/>
        <d v="2023-08-19T00:00:00"/>
        <d v="2023-04-15T00:00:00"/>
        <d v="2023-01-07T00:00:00"/>
        <d v="2023-12-03T00:00:00"/>
        <d v="2023-02-16T00:00:00"/>
        <d v="2023-05-24T00:00:00"/>
        <d v="2023-01-31T00:00:00"/>
        <d v="2023-07-12T00:00:00"/>
        <d v="2023-04-18T00:00:00"/>
        <d v="2023-07-21T00:00:00"/>
        <d v="2023-05-19T00:00:00"/>
        <d v="2023-09-17T00:00:00"/>
        <d v="2023-05-09T00:00:00"/>
        <d v="2023-04-11T00:00:00"/>
        <d v="2023-12-08T00:00:00"/>
        <d v="2023-09-09T00:00:00"/>
        <d v="2023-04-14T00:00:00"/>
        <d v="2023-06-12T00:00:00"/>
        <d v="2023-12-26T00:00:00"/>
        <d v="2023-05-07T00:00:00"/>
        <d v="2023-11-09T00:00:00"/>
        <d v="2023-11-02T00:00:00"/>
        <d v="2023-07-09T00:00:00"/>
        <d v="2023-05-30T00:00:00"/>
        <d v="2023-06-11T00:00:00"/>
        <d v="2023-08-17T00:00:00"/>
        <d v="2023-01-08T00:00:00"/>
        <d v="2023-06-02T00:00:00"/>
        <d v="2023-04-03T00:00:00"/>
        <d v="2023-09-05T00:00:00"/>
        <d v="2023-05-26T00:00:00"/>
        <d v="2023-12-04T00:00:00"/>
        <d v="2023-07-19T00:00:00"/>
        <d v="2023-05-18T00:00:00"/>
        <d v="2023-11-21T00:00:00"/>
        <d v="2023-01-21T00:00:00"/>
        <d v="2023-03-29T00:00:00"/>
        <d v="2023-01-17T00:00:00"/>
        <d v="2023-06-04T00:00:00"/>
        <d v="2023-08-02T00:00:00"/>
        <d v="2023-07-10T00:00:00"/>
        <d v="2023-02-17T00:00:00"/>
        <d v="2023-08-18T00:00:00"/>
        <d v="2023-05-11T00:00:00"/>
        <d v="2023-04-09T00:00:00"/>
        <d v="2023-09-23T00:00:00"/>
        <d v="2023-09-27T00:00:00"/>
        <d v="2023-10-20T00:00:00"/>
        <d v="2023-04-19T00:00:00"/>
        <d v="2023-12-09T00:00:00"/>
        <d v="2023-10-04T00:00:00"/>
        <d v="2023-10-16T00:00:00"/>
        <d v="2023-08-15T00:00:00"/>
        <d v="2023-10-23T00:00:00"/>
        <d v="2023-07-05T00:00:00"/>
        <d v="2023-11-17T00:00:00"/>
        <d v="2023-11-30T00:00:00"/>
        <d v="2023-12-28T00:00:00"/>
        <d v="2023-12-15T00:00:00"/>
        <d v="2023-11-27T00:00:00"/>
        <d v="2023-08-04T00:00:00"/>
        <d v="2023-04-27T00:00:00"/>
        <d v="2023-08-07T00:00:00"/>
        <d v="2023-11-16T00:00:00"/>
        <d v="2023-03-15T00:00:00"/>
        <d v="2023-10-06T00:00:00"/>
        <d v="2023-09-07T00:00:00"/>
        <d v="2023-03-09T00:00:00"/>
        <d v="2023-02-26T00:00:00"/>
        <d v="2023-05-08T00:00:00"/>
        <d v="2023-01-25T00:00:00"/>
        <d v="2023-09-15T00:00:00"/>
        <d v="2023-11-06T00:00:00"/>
        <d v="2023-08-06T00:00:00"/>
        <d v="2023-10-01T00:00:00"/>
        <d v="2023-10-11T00:00:00"/>
        <d v="2023-03-27T00:00:00"/>
        <d v="2023-09-16T00:00:00"/>
        <d v="2023-04-16T00:00:00"/>
        <d v="2023-02-12T00:00:00"/>
        <d v="2023-08-12T00:00:00"/>
        <d v="2023-08-10T00:00:00"/>
        <d v="2023-01-28T00:00:00"/>
        <d v="2023-05-27T00:00:00"/>
        <d v="2023-03-01T00:00:00"/>
        <d v="2023-01-01T00:00:00"/>
        <d v="2023-05-13T00:00:00"/>
        <d v="2023-02-10T00:00:00"/>
        <d v="2023-10-26T00:00:00"/>
        <d v="2023-03-24T00:00:00"/>
        <d v="2023-02-06T00:00:00"/>
        <d v="2023-10-09T00:00:00"/>
        <d v="2023-02-20T00:00:00"/>
        <d v="2023-01-09T00:00:00"/>
        <d v="2023-12-19T00:00:00"/>
        <d v="2023-06-22T00:00:00"/>
        <d v="2023-08-25T00:00:00"/>
        <d v="2023-07-31T00:00:00"/>
        <d v="2023-01-13T00:00:00"/>
        <d v="2023-02-22T00:00:00"/>
        <d v="2023-02-27T00:00:00"/>
        <d v="2023-11-28T00:00:00"/>
        <d v="2023-04-10T00:00:00"/>
        <d v="2023-12-25T00:00:00"/>
        <d v="2023-11-08T00:00:00"/>
        <d v="2023-02-14T00:00:00"/>
        <d v="2023-06-06T00:00:00"/>
        <d v="2023-05-31T00:00:00"/>
        <d v="2023-03-02T00:00:00"/>
        <d v="2023-01-02T00:00:00"/>
        <d v="2023-11-01T00:00:00"/>
        <d v="2023-01-27T00:00:00"/>
        <d v="2023-09-13T00:00:00"/>
        <d v="2023-12-07T00:00:00"/>
        <d v="2023-06-09T00:00:00"/>
        <d v="2023-09-06T00:00:00"/>
        <d v="2023-10-07T00:00:00"/>
        <d v="2023-02-23T00:00:00"/>
        <d v="2023-09-22T00:00:00"/>
        <d v="2023-04-17T00:00:00"/>
        <d v="2023-08-22T00:00:00"/>
        <d v="2023-01-20T00:00:00"/>
        <d v="2023-01-04T00:00:00"/>
        <d v="2023-08-01T00:00:00"/>
        <d v="2023-08-11T00:00:00"/>
        <d v="2023-05-02T00:00:00"/>
        <d v="2023-06-28T00:00:00"/>
        <d v="2023-05-17T00:00:00"/>
        <d v="2023-08-31T00:00:00"/>
        <d v="2023-05-06T00:00:00"/>
        <d v="2023-11-04T00:00:00"/>
        <d v="2023-01-26T00:00:00"/>
        <d v="2023-06-15T00:00:00"/>
        <d v="2023-06-10T00:00:00"/>
      </sharedItems>
      <fieldGroup par="28"/>
    </cacheField>
    <cacheField name="Customer_ID" numFmtId="0">
      <sharedItems/>
    </cacheField>
    <cacheField name="Product_ID" numFmtId="0">
      <sharedItems/>
    </cacheField>
    <cacheField name="Quantity" numFmtId="0">
      <sharedItems containsSemiMixedTypes="0" containsString="0" containsNumber="1" containsInteger="1" minValue="1" maxValue="6"/>
    </cacheField>
    <cacheField name="Payment_Mode" numFmtId="0">
      <sharedItems count="4">
        <s v="Upi"/>
        <s v="Net Banking"/>
        <s v="Cash"/>
        <s v="Card"/>
      </sharedItems>
    </cacheField>
    <cacheField name="Discount_Percentage" numFmtId="0">
      <sharedItems containsSemiMixedTypes="0" containsString="0" containsNumber="1" containsInteger="1" minValue="0" maxValue="25"/>
    </cacheField>
    <cacheField name="Customer_name" numFmtId="0">
      <sharedItems/>
    </cacheField>
    <cacheField name="Gender" numFmtId="0">
      <sharedItems count="2">
        <s v="Male"/>
        <s v="Female"/>
      </sharedItems>
    </cacheField>
    <cacheField name="Age" numFmtId="0">
      <sharedItems containsSemiMixedTypes="0" containsString="0" containsNumber="1" containsInteger="1" minValue="20" maxValue="60"/>
    </cacheField>
    <cacheField name="City" numFmtId="0">
      <sharedItems count="8">
        <s v="Kolkata"/>
        <s v="Hyderabad"/>
        <s v="Delhi"/>
        <s v="Coimbatore"/>
        <s v="Mumbai"/>
        <s v="Chennai"/>
        <s v="Salem"/>
        <s v="Bangalore"/>
      </sharedItems>
    </cacheField>
    <cacheField name="State" numFmtId="0">
      <sharedItems count="6">
        <s v="Karnataka"/>
        <s v="Telangana"/>
        <s v="Delhi"/>
        <s v="Tamil Nadu"/>
        <s v="Maharashtra"/>
        <s v="West Bengal"/>
      </sharedItems>
    </cacheField>
    <cacheField name="Join_Date" numFmtId="14">
      <sharedItems containsSemiMixedTypes="0" containsNonDate="0" containsDate="1" containsString="0" minDate="2022-01-04T00:00:00" maxDate="2025-04-13T00:00:00"/>
    </cacheField>
    <cacheField name="Customer_Segment" numFmtId="0">
      <sharedItems count="3">
        <s v="Corporate"/>
        <s v="Retail"/>
        <s v="Wholesale"/>
      </sharedItems>
    </cacheField>
    <cacheField name="Product_Name" numFmtId="0">
      <sharedItems/>
    </cacheField>
    <cacheField name="Category" numFmtId="0">
      <sharedItems count="4">
        <s v="Furniture"/>
        <s v="Grocery"/>
        <s v="Electronics"/>
        <s v="Clothing"/>
      </sharedItems>
    </cacheField>
    <cacheField name="Brand" numFmtId="0">
      <sharedItems count="4">
        <s v="Brandc"/>
        <s v="Branda"/>
        <s v="Brandd"/>
        <s v="Brandb"/>
      </sharedItems>
    </cacheField>
    <cacheField name="Cost_Price" numFmtId="0">
      <sharedItems containsSemiMixedTypes="0" containsString="0" containsNumber="1" minValue="236.18" maxValue="4948.75"/>
    </cacheField>
    <cacheField name="Selling_Price" numFmtId="0">
      <sharedItems containsSemiMixedTypes="0" containsString="0" containsNumber="1" minValue="290.54000000000002" maxValue="7058.65"/>
    </cacheField>
    <cacheField name="Stock_Quantity" numFmtId="0">
      <sharedItems containsSemiMixedTypes="0" containsString="0" containsNumber="1" containsInteger="1" minValue="11" maxValue="299"/>
    </cacheField>
    <cacheField name="Total_Amount" numFmtId="0">
      <sharedItems containsSemiMixedTypes="0" containsString="0" containsNumber="1" minValue="528.62" maxValue="19967.59"/>
    </cacheField>
    <cacheField name="Discount_Amount" numFmtId="0">
      <sharedItems containsSemiMixedTypes="0" containsString="0" containsNumber="1" minValue="5.52" maxValue="4489.4799999999996"/>
    </cacheField>
    <cacheField name="Final_Sales" numFmtId="0">
      <sharedItems containsSemiMixedTypes="0" containsString="0" containsNumber="1" minValue="441.92" maxValue="19885.89"/>
    </cacheField>
    <cacheField name="Profit" numFmtId="0">
      <sharedItems containsSemiMixedTypes="0" containsString="0" containsNumber="1" minValue="104.63" maxValue="4992.03"/>
    </cacheField>
    <cacheField name="Sales_Region" numFmtId="0">
      <sharedItems/>
    </cacheField>
    <cacheField name="Total sales" numFmtId="0">
      <sharedItems containsSemiMixedTypes="0" containsString="0" containsNumber="1" minValue="1019.21" maxValue="42351.899999999994"/>
    </cacheField>
    <cacheField name="profitt" numFmtId="0">
      <sharedItems containsSemiMixedTypes="0" containsString="0" containsNumber="1" minValue="155.49" maxValue="15412.5"/>
    </cacheField>
    <cacheField name="Months (Order_Date)"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 name="Years (Order_Date)" numFmtId="0" databaseField="0">
      <fieldGroup base="1">
        <rangePr groupBy="years" startDate="2023-01-01T00:00:00" endDate="2023-12-31T00:00:00"/>
        <groupItems count="3">
          <s v="&lt;01-01-2023"/>
          <s v="2023"/>
          <s v="&gt;31-12-2023"/>
        </groupItems>
      </fieldGroup>
    </cacheField>
  </cacheFields>
  <extLst>
    <ext xmlns:x14="http://schemas.microsoft.com/office/spreadsheetml/2009/9/main" uri="{725AE2AE-9491-48be-B2B4-4EB974FC3084}">
      <x14:pivotCacheDefinition pivotCacheId="568292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ORD00001"/>
    <x v="0"/>
    <s v="CUST0183"/>
    <s v="PROD0004"/>
    <n v="2"/>
    <x v="0"/>
    <n v="8"/>
    <s v="Customer_183"/>
    <x v="0"/>
    <n v="60"/>
    <x v="0"/>
    <x v="0"/>
    <d v="2025-01-15T00:00:00"/>
    <x v="0"/>
    <s v="Product_4"/>
    <x v="0"/>
    <x v="0"/>
    <n v="4318.8599999999997"/>
    <n v="4880.6400000000003"/>
    <n v="149"/>
    <n v="9025.2099999999991"/>
    <n v="976.1"/>
    <n v="8049.11"/>
    <n v="4864.4799999999996"/>
    <s v="East"/>
    <n v="9761.2800000000007"/>
    <n v="1123.5600000000013"/>
  </r>
  <r>
    <s v="ORD00020"/>
    <x v="1"/>
    <s v="CUST0001"/>
    <s v="PROD0024"/>
    <n v="4"/>
    <x v="0"/>
    <n v="5"/>
    <s v="Customer_1"/>
    <x v="0"/>
    <n v="46"/>
    <x v="1"/>
    <x v="1"/>
    <d v="2023-10-24T00:00:00"/>
    <x v="1"/>
    <s v="Product_24"/>
    <x v="0"/>
    <x v="1"/>
    <n v="1093.9000000000001"/>
    <n v="1507.34"/>
    <n v="11"/>
    <n v="19967.59"/>
    <n v="81.7"/>
    <n v="19885.89"/>
    <n v="3963.39"/>
    <s v="South"/>
    <n v="6029.36"/>
    <n v="1653.7599999999993"/>
  </r>
  <r>
    <s v="ORD00002"/>
    <x v="2"/>
    <s v="CUST0020"/>
    <s v="PROD0017"/>
    <n v="3"/>
    <x v="1"/>
    <n v="0"/>
    <s v="Customer_20"/>
    <x v="0"/>
    <n v="24"/>
    <x v="2"/>
    <x v="1"/>
    <d v="2025-03-05T00:00:00"/>
    <x v="2"/>
    <s v="Product_17"/>
    <x v="0"/>
    <x v="1"/>
    <n v="3612.18"/>
    <n v="3996.91"/>
    <n v="92"/>
    <n v="3157.46"/>
    <n v="599.99"/>
    <n v="2557.4699999999998"/>
    <n v="930.64"/>
    <s v="West"/>
    <n v="11990.73"/>
    <n v="1154.19"/>
  </r>
  <r>
    <s v="ORD00015"/>
    <x v="3"/>
    <s v="CUST0174"/>
    <s v="PROD0024"/>
    <n v="4"/>
    <x v="1"/>
    <n v="23"/>
    <s v="Customer_174"/>
    <x v="0"/>
    <n v="25"/>
    <x v="3"/>
    <x v="2"/>
    <d v="2022-12-03T00:00:00"/>
    <x v="1"/>
    <s v="Product_24"/>
    <x v="0"/>
    <x v="1"/>
    <n v="1093.9000000000001"/>
    <n v="1507.34"/>
    <n v="11"/>
    <n v="1080.02"/>
    <n v="82.42"/>
    <n v="997.6"/>
    <n v="2165.17"/>
    <s v="South"/>
    <n v="6029.36"/>
    <n v="1653.7599999999993"/>
  </r>
  <r>
    <s v="ORD00003"/>
    <x v="4"/>
    <s v="CUST0004"/>
    <s v="PROD0008"/>
    <n v="4"/>
    <x v="1"/>
    <n v="19"/>
    <s v="Customer_4"/>
    <x v="0"/>
    <n v="25"/>
    <x v="4"/>
    <x v="3"/>
    <d v="2023-01-25T00:00:00"/>
    <x v="2"/>
    <s v="Product_8"/>
    <x v="1"/>
    <x v="1"/>
    <n v="2961.83"/>
    <n v="4189.8100000000004"/>
    <n v="165"/>
    <n v="15847.56"/>
    <n v="3465"/>
    <n v="12382.56"/>
    <n v="1241.1500000000001"/>
    <s v="East"/>
    <n v="16759.240000000002"/>
    <n v="4911.9200000000019"/>
  </r>
  <r>
    <s v="ORD00156"/>
    <x v="5"/>
    <s v="CUST0193"/>
    <s v="PROD0002"/>
    <n v="1"/>
    <x v="1"/>
    <n v="2"/>
    <s v="Customer_193"/>
    <x v="0"/>
    <n v="56"/>
    <x v="5"/>
    <x v="0"/>
    <d v="2024-11-23T00:00:00"/>
    <x v="2"/>
    <s v="Product_2"/>
    <x v="0"/>
    <x v="0"/>
    <n v="3231.26"/>
    <n v="4308.05"/>
    <n v="21"/>
    <n v="861.96"/>
    <n v="160.43"/>
    <n v="701.53"/>
    <n v="4197.28"/>
    <s v="South"/>
    <n v="4308.05"/>
    <n v="1076.79"/>
  </r>
  <r>
    <s v="ORD00004"/>
    <x v="6"/>
    <s v="CUST0149"/>
    <s v="PROD0051"/>
    <n v="2"/>
    <x v="2"/>
    <n v="6"/>
    <s v="Customer_149"/>
    <x v="1"/>
    <n v="31"/>
    <x v="1"/>
    <x v="4"/>
    <d v="2022-07-18T00:00:00"/>
    <x v="0"/>
    <s v="Product_51"/>
    <x v="0"/>
    <x v="1"/>
    <n v="1607.82"/>
    <n v="2197.14"/>
    <n v="27"/>
    <n v="10003.5"/>
    <n v="2399.61"/>
    <n v="7603.89"/>
    <n v="1231.7"/>
    <s v="North"/>
    <n v="4394.28"/>
    <n v="1178.6399999999999"/>
  </r>
  <r>
    <s v="ORD00011"/>
    <x v="7"/>
    <s v="CUST0155"/>
    <s v="PROD0002"/>
    <n v="5"/>
    <x v="0"/>
    <n v="0"/>
    <s v="Customer_155"/>
    <x v="1"/>
    <n v="35"/>
    <x v="5"/>
    <x v="4"/>
    <d v="2024-02-26T00:00:00"/>
    <x v="0"/>
    <s v="Product_2"/>
    <x v="0"/>
    <x v="0"/>
    <n v="3231.26"/>
    <n v="4308.05"/>
    <n v="21"/>
    <n v="15201.83"/>
    <n v="2049.09"/>
    <n v="13152.74"/>
    <n v="3686.74"/>
    <s v="South"/>
    <n v="21540.25"/>
    <n v="5383.95"/>
  </r>
  <r>
    <s v="ORD00005"/>
    <x v="8"/>
    <s v="CUST0067"/>
    <s v="PROD0018"/>
    <n v="5"/>
    <x v="3"/>
    <n v="9"/>
    <s v="Customer_67"/>
    <x v="1"/>
    <n v="58"/>
    <x v="6"/>
    <x v="1"/>
    <d v="2023-07-24T00:00:00"/>
    <x v="0"/>
    <s v="Product_18"/>
    <x v="2"/>
    <x v="1"/>
    <n v="1290.44"/>
    <n v="1756.94"/>
    <n v="226"/>
    <n v="5505.06"/>
    <n v="915.5"/>
    <n v="4589.5600000000004"/>
    <n v="2395.66"/>
    <s v="South"/>
    <n v="8784.7000000000007"/>
    <n v="2332.5"/>
  </r>
  <r>
    <s v="ORD00048"/>
    <x v="9"/>
    <s v="CUST0174"/>
    <s v="PROD0002"/>
    <n v="6"/>
    <x v="0"/>
    <n v="23"/>
    <s v="Customer_174"/>
    <x v="0"/>
    <n v="25"/>
    <x v="3"/>
    <x v="2"/>
    <d v="2022-12-03T00:00:00"/>
    <x v="1"/>
    <s v="Product_2"/>
    <x v="0"/>
    <x v="0"/>
    <n v="3231.26"/>
    <n v="4308.05"/>
    <n v="21"/>
    <n v="15138.64"/>
    <n v="505.28"/>
    <n v="14633.36"/>
    <n v="2122.0300000000002"/>
    <s v="South"/>
    <n v="25848.300000000003"/>
    <n v="6460.74"/>
  </r>
  <r>
    <s v="ORD00006"/>
    <x v="10"/>
    <s v="CUST0111"/>
    <s v="PROD0048"/>
    <n v="1"/>
    <x v="0"/>
    <n v="15"/>
    <s v="Customer_111"/>
    <x v="1"/>
    <n v="27"/>
    <x v="0"/>
    <x v="0"/>
    <d v="2022-03-17T00:00:00"/>
    <x v="0"/>
    <s v="Product_48"/>
    <x v="2"/>
    <x v="0"/>
    <n v="4225.4799999999996"/>
    <n v="6100.15"/>
    <n v="279"/>
    <n v="2566.3200000000002"/>
    <n v="558.59"/>
    <n v="2007.73"/>
    <n v="3619.57"/>
    <s v="North"/>
    <n v="6100.15"/>
    <n v="1874.67"/>
  </r>
  <r>
    <s v="ORD00106"/>
    <x v="11"/>
    <s v="CUST0001"/>
    <s v="PROD0025"/>
    <n v="4"/>
    <x v="2"/>
    <n v="15"/>
    <s v="Customer_1"/>
    <x v="0"/>
    <n v="46"/>
    <x v="1"/>
    <x v="1"/>
    <d v="2023-10-24T00:00:00"/>
    <x v="1"/>
    <s v="Product_25"/>
    <x v="2"/>
    <x v="1"/>
    <n v="4398.43"/>
    <n v="6683.28"/>
    <n v="152"/>
    <n v="7967.58"/>
    <n v="1173.22"/>
    <n v="6794.36"/>
    <n v="3460.93"/>
    <s v="East"/>
    <n v="26733.119999999999"/>
    <n v="9139.3999999999978"/>
  </r>
  <r>
    <s v="ORD00007"/>
    <x v="12"/>
    <s v="CUST0098"/>
    <s v="PROD0044"/>
    <n v="5"/>
    <x v="2"/>
    <n v="15"/>
    <s v="Customer_98"/>
    <x v="1"/>
    <n v="22"/>
    <x v="3"/>
    <x v="5"/>
    <d v="2024-02-29T00:00:00"/>
    <x v="2"/>
    <s v="Product_44"/>
    <x v="3"/>
    <x v="2"/>
    <n v="1622.17"/>
    <n v="1993.72"/>
    <n v="262"/>
    <n v="14314.83"/>
    <n v="2265.4499999999998"/>
    <n v="12049.38"/>
    <n v="297.77999999999997"/>
    <s v="West"/>
    <n v="9968.6"/>
    <n v="1857.7499999999998"/>
  </r>
  <r>
    <s v="ORD00042"/>
    <x v="13"/>
    <s v="CUST0014"/>
    <s v="PROD0025"/>
    <n v="5"/>
    <x v="3"/>
    <n v="11"/>
    <s v="Customer_14"/>
    <x v="0"/>
    <n v="21"/>
    <x v="0"/>
    <x v="3"/>
    <d v="2024-12-23T00:00:00"/>
    <x v="0"/>
    <s v="Product_25"/>
    <x v="2"/>
    <x v="1"/>
    <n v="4398.43"/>
    <n v="6683.28"/>
    <n v="152"/>
    <n v="13683.07"/>
    <n v="2065.58"/>
    <n v="11617.49"/>
    <n v="3745.81"/>
    <s v="North"/>
    <n v="33416.400000000001"/>
    <n v="11424.249999999996"/>
  </r>
  <r>
    <s v="ORD00008"/>
    <x v="14"/>
    <s v="CUST0178"/>
    <s v="PROD0023"/>
    <n v="1"/>
    <x v="1"/>
    <n v="0"/>
    <s v="Customer_178"/>
    <x v="1"/>
    <n v="52"/>
    <x v="0"/>
    <x v="1"/>
    <d v="2023-08-25T00:00:00"/>
    <x v="2"/>
    <s v="Product_23"/>
    <x v="3"/>
    <x v="3"/>
    <n v="1390.81"/>
    <n v="1874.61"/>
    <n v="262"/>
    <n v="16205.02"/>
    <n v="3275.11"/>
    <n v="12929.91"/>
    <n v="1328.26"/>
    <s v="East"/>
    <n v="1874.61"/>
    <n v="483.79999999999995"/>
  </r>
  <r>
    <s v="ORD00009"/>
    <x v="15"/>
    <s v="CUST0193"/>
    <s v="PROD0058"/>
    <n v="3"/>
    <x v="1"/>
    <n v="6"/>
    <s v="Customer_193"/>
    <x v="0"/>
    <n v="56"/>
    <x v="5"/>
    <x v="0"/>
    <d v="2024-11-23T00:00:00"/>
    <x v="2"/>
    <s v="Product_58"/>
    <x v="1"/>
    <x v="1"/>
    <n v="1480.33"/>
    <n v="1709.3"/>
    <n v="229"/>
    <n v="16674.849999999999"/>
    <n v="571.14"/>
    <n v="16103.71"/>
    <n v="4520.46"/>
    <s v="North"/>
    <n v="5127.8999999999996"/>
    <n v="686.91000000000008"/>
  </r>
  <r>
    <s v="ORD00124"/>
    <x v="16"/>
    <s v="CUST0020"/>
    <s v="PROD0014"/>
    <n v="6"/>
    <x v="1"/>
    <n v="2"/>
    <s v="Customer_20"/>
    <x v="0"/>
    <n v="24"/>
    <x v="2"/>
    <x v="1"/>
    <d v="2025-03-05T00:00:00"/>
    <x v="2"/>
    <s v="Product_14"/>
    <x v="1"/>
    <x v="3"/>
    <n v="4301.32"/>
    <n v="6870.07"/>
    <n v="243"/>
    <n v="1419.43"/>
    <n v="79.099999999999994"/>
    <n v="1340.33"/>
    <n v="3667.3"/>
    <s v="South"/>
    <n v="41220.42"/>
    <n v="15412.5"/>
  </r>
  <r>
    <s v="ORD00010"/>
    <x v="17"/>
    <s v="CUST0119"/>
    <s v="PROD0060"/>
    <n v="4"/>
    <x v="3"/>
    <n v="23"/>
    <s v="Customer_119"/>
    <x v="0"/>
    <n v="36"/>
    <x v="4"/>
    <x v="4"/>
    <d v="2022-02-07T00:00:00"/>
    <x v="2"/>
    <s v="Product_60"/>
    <x v="1"/>
    <x v="2"/>
    <n v="4948.75"/>
    <n v="6628.41"/>
    <n v="268"/>
    <n v="19085.47"/>
    <n v="3730.95"/>
    <n v="15354.52"/>
    <n v="760.74"/>
    <s v="West"/>
    <n v="26513.64"/>
    <n v="6718.6399999999994"/>
  </r>
  <r>
    <s v="ORD00187"/>
    <x v="18"/>
    <s v="CUST0002"/>
    <s v="PROD0005"/>
    <n v="1"/>
    <x v="1"/>
    <n v="20"/>
    <s v="Customer_2"/>
    <x v="0"/>
    <n v="50"/>
    <x v="1"/>
    <x v="1"/>
    <d v="2023-02-10T00:00:00"/>
    <x v="0"/>
    <s v="Product_5"/>
    <x v="1"/>
    <x v="1"/>
    <n v="3023.88"/>
    <n v="3903.42"/>
    <n v="217"/>
    <n v="1568.29"/>
    <n v="187.57"/>
    <n v="1380.72"/>
    <n v="4961.91"/>
    <s v="North"/>
    <n v="3903.42"/>
    <n v="879.54"/>
  </r>
  <r>
    <s v="ORD00131"/>
    <x v="19"/>
    <s v="CUST0007"/>
    <s v="PROD0005"/>
    <n v="3"/>
    <x v="2"/>
    <n v="15"/>
    <s v="Customer_7"/>
    <x v="1"/>
    <n v="25"/>
    <x v="2"/>
    <x v="4"/>
    <d v="2022-07-14T00:00:00"/>
    <x v="2"/>
    <s v="Product_5"/>
    <x v="1"/>
    <x v="1"/>
    <n v="3023.88"/>
    <n v="3903.42"/>
    <n v="217"/>
    <n v="11760.28"/>
    <n v="230.3"/>
    <n v="11529.98"/>
    <n v="421.84"/>
    <s v="South"/>
    <n v="11710.26"/>
    <n v="2638.62"/>
  </r>
  <r>
    <s v="ORD00012"/>
    <x v="20"/>
    <s v="CUST0207"/>
    <s v="PROD0031"/>
    <n v="6"/>
    <x v="1"/>
    <n v="14"/>
    <s v="Customer_207"/>
    <x v="1"/>
    <n v="41"/>
    <x v="5"/>
    <x v="4"/>
    <d v="2022-12-04T00:00:00"/>
    <x v="2"/>
    <s v="Product_31"/>
    <x v="1"/>
    <x v="1"/>
    <n v="236.18"/>
    <n v="290.54000000000002"/>
    <n v="127"/>
    <n v="17350.29"/>
    <n v="1343.19"/>
    <n v="16007.1"/>
    <n v="2549.77"/>
    <s v="South"/>
    <n v="1743.2400000000002"/>
    <n v="326.16000000000008"/>
  </r>
  <r>
    <s v="ORD00059"/>
    <x v="21"/>
    <s v="CUST0002"/>
    <s v="PROD0037"/>
    <n v="1"/>
    <x v="3"/>
    <n v="12"/>
    <s v="Customer_2"/>
    <x v="0"/>
    <n v="50"/>
    <x v="1"/>
    <x v="1"/>
    <d v="2023-02-10T00:00:00"/>
    <x v="0"/>
    <s v="Product_37"/>
    <x v="2"/>
    <x v="2"/>
    <n v="662.05"/>
    <n v="1019.21"/>
    <n v="49"/>
    <n v="10487.63"/>
    <n v="1931.37"/>
    <n v="8556.26"/>
    <n v="973.68"/>
    <s v="East"/>
    <n v="1019.21"/>
    <n v="357.16000000000008"/>
  </r>
  <r>
    <s v="ORD00013"/>
    <x v="22"/>
    <s v="CUST0089"/>
    <s v="PROD0037"/>
    <n v="1"/>
    <x v="0"/>
    <n v="22"/>
    <s v="Customer_89"/>
    <x v="0"/>
    <n v="44"/>
    <x v="5"/>
    <x v="4"/>
    <d v="2022-12-23T00:00:00"/>
    <x v="0"/>
    <s v="Product_37"/>
    <x v="2"/>
    <x v="2"/>
    <n v="662.05"/>
    <n v="1019.21"/>
    <n v="49"/>
    <n v="2119.8200000000002"/>
    <n v="516.88"/>
    <n v="1602.94"/>
    <n v="4005.06"/>
    <s v="East"/>
    <n v="1019.21"/>
    <n v="357.16000000000008"/>
  </r>
  <r>
    <s v="ORD00014"/>
    <x v="23"/>
    <s v="CUST0043"/>
    <s v="PROD0027"/>
    <n v="6"/>
    <x v="3"/>
    <n v="2"/>
    <s v="Customer_43"/>
    <x v="1"/>
    <n v="36"/>
    <x v="7"/>
    <x v="4"/>
    <d v="2023-06-26T00:00:00"/>
    <x v="0"/>
    <s v="Product_27"/>
    <x v="0"/>
    <x v="0"/>
    <n v="2340.46"/>
    <n v="2600.46"/>
    <n v="245"/>
    <n v="603.61"/>
    <n v="42.57"/>
    <n v="561.04"/>
    <n v="3351.55"/>
    <s v="East"/>
    <n v="15602.76"/>
    <n v="1560"/>
  </r>
  <r>
    <s v="ORD00094"/>
    <x v="24"/>
    <s v="CUST0174"/>
    <s v="PROD0037"/>
    <n v="4"/>
    <x v="3"/>
    <n v="7"/>
    <s v="Customer_174"/>
    <x v="0"/>
    <n v="25"/>
    <x v="3"/>
    <x v="2"/>
    <d v="2022-12-03T00:00:00"/>
    <x v="1"/>
    <s v="Product_37"/>
    <x v="2"/>
    <x v="2"/>
    <n v="662.05"/>
    <n v="1019.21"/>
    <n v="49"/>
    <n v="11512.44"/>
    <n v="2130.63"/>
    <n v="9381.81"/>
    <n v="1241.27"/>
    <s v="North"/>
    <n v="4076.84"/>
    <n v="1428.6400000000003"/>
  </r>
  <r>
    <s v="ORD00175"/>
    <x v="25"/>
    <s v="CUST0037"/>
    <s v="PROD0037"/>
    <n v="1"/>
    <x v="2"/>
    <n v="23"/>
    <s v="Customer_37"/>
    <x v="1"/>
    <n v="55"/>
    <x v="7"/>
    <x v="5"/>
    <d v="2024-11-23T00:00:00"/>
    <x v="1"/>
    <s v="Product_37"/>
    <x v="2"/>
    <x v="2"/>
    <n v="662.05"/>
    <n v="1019.21"/>
    <n v="49"/>
    <n v="3848.11"/>
    <n v="869.66"/>
    <n v="2978.45"/>
    <n v="3031.95"/>
    <s v="East"/>
    <n v="1019.21"/>
    <n v="357.16000000000008"/>
  </r>
  <r>
    <s v="ORD00016"/>
    <x v="26"/>
    <s v="CUST0064"/>
    <s v="PROD0032"/>
    <n v="6"/>
    <x v="2"/>
    <n v="24"/>
    <s v="Customer_64"/>
    <x v="0"/>
    <n v="58"/>
    <x v="0"/>
    <x v="0"/>
    <d v="2022-06-27T00:00:00"/>
    <x v="0"/>
    <s v="Product_32"/>
    <x v="2"/>
    <x v="3"/>
    <n v="1733.92"/>
    <n v="2099.92"/>
    <n v="175"/>
    <n v="10611.74"/>
    <n v="137.28"/>
    <n v="10474.459999999999"/>
    <n v="2331.36"/>
    <s v="South"/>
    <n v="12599.52"/>
    <n v="2196"/>
  </r>
  <r>
    <s v="ORD00017"/>
    <x v="27"/>
    <s v="CUST0061"/>
    <s v="PROD0008"/>
    <n v="3"/>
    <x v="1"/>
    <n v="20"/>
    <s v="Customer_61"/>
    <x v="0"/>
    <n v="55"/>
    <x v="5"/>
    <x v="0"/>
    <d v="2022-10-09T00:00:00"/>
    <x v="1"/>
    <s v="Product_8"/>
    <x v="1"/>
    <x v="1"/>
    <n v="2961.83"/>
    <n v="4189.8100000000004"/>
    <n v="165"/>
    <n v="1079.08"/>
    <n v="32.94"/>
    <n v="1046.1400000000001"/>
    <n v="1989.53"/>
    <s v="North"/>
    <n v="12569.43"/>
    <n v="3683.9400000000014"/>
  </r>
  <r>
    <s v="ORD00029"/>
    <x v="28"/>
    <s v="CUST0178"/>
    <s v="PROD0008"/>
    <n v="3"/>
    <x v="0"/>
    <n v="15"/>
    <s v="Customer_178"/>
    <x v="1"/>
    <n v="52"/>
    <x v="0"/>
    <x v="1"/>
    <d v="2023-08-25T00:00:00"/>
    <x v="2"/>
    <s v="Product_8"/>
    <x v="1"/>
    <x v="1"/>
    <n v="2961.83"/>
    <n v="4189.8100000000004"/>
    <n v="165"/>
    <n v="11041.68"/>
    <n v="1479.68"/>
    <n v="9562"/>
    <n v="3378.64"/>
    <s v="South"/>
    <n v="12569.43"/>
    <n v="3683.9400000000014"/>
  </r>
  <r>
    <s v="ORD00018"/>
    <x v="29"/>
    <s v="CUST0094"/>
    <s v="PROD0029"/>
    <n v="4"/>
    <x v="2"/>
    <n v="24"/>
    <s v="Customer_94"/>
    <x v="0"/>
    <n v="22"/>
    <x v="7"/>
    <x v="0"/>
    <d v="2025-02-13T00:00:00"/>
    <x v="1"/>
    <s v="Product_29"/>
    <x v="2"/>
    <x v="3"/>
    <n v="2787.43"/>
    <n v="4097.28"/>
    <n v="278"/>
    <n v="11340.48"/>
    <n v="529.47"/>
    <n v="10811.01"/>
    <n v="654.14"/>
    <s v="West"/>
    <n v="16389.12"/>
    <n v="5239.3999999999996"/>
  </r>
  <r>
    <s v="ORD00019"/>
    <x v="24"/>
    <s v="CUST0151"/>
    <s v="PROD0045"/>
    <n v="2"/>
    <x v="2"/>
    <n v="14"/>
    <s v="Customer_151"/>
    <x v="1"/>
    <n v="27"/>
    <x v="2"/>
    <x v="1"/>
    <d v="2024-03-21T00:00:00"/>
    <x v="2"/>
    <s v="Product_45"/>
    <x v="0"/>
    <x v="1"/>
    <n v="926.86"/>
    <n v="1109.73"/>
    <n v="287"/>
    <n v="19354.599999999999"/>
    <n v="398.87"/>
    <n v="18955.73"/>
    <n v="1008.92"/>
    <s v="East"/>
    <n v="2219.46"/>
    <n v="365.74"/>
  </r>
  <r>
    <s v="ORD00072"/>
    <x v="30"/>
    <s v="CUST0004"/>
    <s v="PROD0060"/>
    <n v="5"/>
    <x v="0"/>
    <n v="25"/>
    <s v="Customer_4"/>
    <x v="0"/>
    <n v="25"/>
    <x v="4"/>
    <x v="3"/>
    <d v="2023-01-25T00:00:00"/>
    <x v="2"/>
    <s v="Product_60"/>
    <x v="1"/>
    <x v="2"/>
    <n v="4948.75"/>
    <n v="6628.41"/>
    <n v="268"/>
    <n v="7793.22"/>
    <n v="650.62"/>
    <n v="7142.6"/>
    <n v="1564.64"/>
    <s v="West"/>
    <n v="33142.050000000003"/>
    <n v="8398.2999999999993"/>
  </r>
  <r>
    <s v="ORD00021"/>
    <x v="31"/>
    <s v="CUST0053"/>
    <s v="PROD0047"/>
    <n v="2"/>
    <x v="3"/>
    <n v="2"/>
    <s v="Customer_53"/>
    <x v="1"/>
    <n v="40"/>
    <x v="4"/>
    <x v="1"/>
    <d v="2023-03-10T00:00:00"/>
    <x v="0"/>
    <s v="Product_47"/>
    <x v="3"/>
    <x v="0"/>
    <n v="1358.27"/>
    <n v="1886.86"/>
    <n v="153"/>
    <n v="11700.36"/>
    <n v="236.02"/>
    <n v="11464.34"/>
    <n v="3693.33"/>
    <s v="South"/>
    <n v="3773.72"/>
    <n v="1057.1799999999998"/>
  </r>
  <r>
    <s v="ORD00191"/>
    <x v="32"/>
    <s v="CUST0011"/>
    <s v="PROD0060"/>
    <n v="2"/>
    <x v="0"/>
    <n v="17"/>
    <s v="Customer_11"/>
    <x v="1"/>
    <n v="35"/>
    <x v="3"/>
    <x v="2"/>
    <d v="2023-05-06T00:00:00"/>
    <x v="1"/>
    <s v="Product_60"/>
    <x v="1"/>
    <x v="2"/>
    <n v="4948.75"/>
    <n v="6628.41"/>
    <n v="268"/>
    <n v="3817.6"/>
    <n v="274.8"/>
    <n v="3542.8"/>
    <n v="2640.05"/>
    <s v="East"/>
    <n v="13256.82"/>
    <n v="3359.3199999999997"/>
  </r>
  <r>
    <s v="ORD00022"/>
    <x v="33"/>
    <s v="CUST0037"/>
    <s v="PROD0028"/>
    <n v="1"/>
    <x v="3"/>
    <n v="0"/>
    <s v="Customer_37"/>
    <x v="1"/>
    <n v="55"/>
    <x v="7"/>
    <x v="5"/>
    <d v="2024-11-23T00:00:00"/>
    <x v="1"/>
    <s v="Product_28"/>
    <x v="1"/>
    <x v="3"/>
    <n v="2412.25"/>
    <n v="3672.51"/>
    <n v="100"/>
    <n v="4088.54"/>
    <n v="542.76"/>
    <n v="3545.78"/>
    <n v="3201.73"/>
    <s v="South"/>
    <n v="3672.51"/>
    <n v="1260.2600000000002"/>
  </r>
  <r>
    <s v="ORD00047"/>
    <x v="34"/>
    <s v="CUST0111"/>
    <s v="PROD0009"/>
    <n v="4"/>
    <x v="3"/>
    <n v="25"/>
    <s v="Customer_111"/>
    <x v="1"/>
    <n v="27"/>
    <x v="0"/>
    <x v="0"/>
    <d v="2022-03-17T00:00:00"/>
    <x v="0"/>
    <s v="Product_9"/>
    <x v="2"/>
    <x v="3"/>
    <n v="1267.6600000000001"/>
    <n v="1481.07"/>
    <n v="99"/>
    <n v="13019.69"/>
    <n v="1496.85"/>
    <n v="11522.84"/>
    <n v="441.71"/>
    <s v="East"/>
    <n v="5924.28"/>
    <n v="853.63999999999942"/>
  </r>
  <r>
    <s v="ORD00023"/>
    <x v="35"/>
    <s v="CUST0204"/>
    <s v="PROD0026"/>
    <n v="4"/>
    <x v="0"/>
    <n v="8"/>
    <s v="Customer_204"/>
    <x v="0"/>
    <n v="37"/>
    <x v="4"/>
    <x v="2"/>
    <d v="2024-05-24T00:00:00"/>
    <x v="0"/>
    <s v="Product_26"/>
    <x v="0"/>
    <x v="1"/>
    <n v="1612.7"/>
    <n v="1932.63"/>
    <n v="278"/>
    <n v="17700.169999999998"/>
    <n v="372.22"/>
    <n v="17327.95"/>
    <n v="3193.88"/>
    <s v="West"/>
    <n v="7730.52"/>
    <n v="1279.7200000000003"/>
  </r>
  <r>
    <s v="ORD00024"/>
    <x v="36"/>
    <s v="CUST0189"/>
    <s v="PROD0010"/>
    <n v="1"/>
    <x v="1"/>
    <n v="15"/>
    <s v="Customer_189"/>
    <x v="0"/>
    <n v="44"/>
    <x v="5"/>
    <x v="2"/>
    <d v="2024-04-26T00:00:00"/>
    <x v="2"/>
    <s v="Product_10"/>
    <x v="3"/>
    <x v="2"/>
    <n v="830.87"/>
    <n v="1283.0999999999999"/>
    <n v="46"/>
    <n v="16692.48"/>
    <n v="3583.42"/>
    <n v="13109.06"/>
    <n v="866.77"/>
    <s v="South"/>
    <n v="1283.0999999999999"/>
    <n v="452.2299999999999"/>
  </r>
  <r>
    <s v="ORD00025"/>
    <x v="37"/>
    <s v="CUST0026"/>
    <s v="PROD0057"/>
    <n v="4"/>
    <x v="3"/>
    <n v="3"/>
    <s v="Customer_26"/>
    <x v="0"/>
    <n v="23"/>
    <x v="7"/>
    <x v="5"/>
    <d v="2022-05-07T00:00:00"/>
    <x v="1"/>
    <s v="Product_57"/>
    <x v="0"/>
    <x v="1"/>
    <n v="4764.59"/>
    <n v="5703.68"/>
    <n v="87"/>
    <n v="2184.61"/>
    <n v="43.62"/>
    <n v="2140.9899999999998"/>
    <n v="888.03"/>
    <s v="North"/>
    <n v="22814.720000000001"/>
    <n v="3756.3600000000006"/>
  </r>
  <r>
    <s v="ORD00132"/>
    <x v="38"/>
    <s v="CUST0022"/>
    <s v="PROD0018"/>
    <n v="5"/>
    <x v="0"/>
    <n v="0"/>
    <s v="Customer_22"/>
    <x v="0"/>
    <n v="43"/>
    <x v="6"/>
    <x v="3"/>
    <d v="2022-12-01T00:00:00"/>
    <x v="2"/>
    <s v="Product_18"/>
    <x v="2"/>
    <x v="1"/>
    <n v="1290.44"/>
    <n v="1756.94"/>
    <n v="226"/>
    <n v="10864.11"/>
    <n v="514.4"/>
    <n v="10349.709999999999"/>
    <n v="3284.52"/>
    <s v="West"/>
    <n v="8784.7000000000007"/>
    <n v="2332.5"/>
  </r>
  <r>
    <s v="ORD00026"/>
    <x v="39"/>
    <s v="CUST0145"/>
    <s v="PROD0025"/>
    <n v="1"/>
    <x v="0"/>
    <n v="15"/>
    <s v="Customer_145"/>
    <x v="1"/>
    <n v="49"/>
    <x v="1"/>
    <x v="0"/>
    <d v="2022-04-10T00:00:00"/>
    <x v="0"/>
    <s v="Product_25"/>
    <x v="2"/>
    <x v="1"/>
    <n v="4398.43"/>
    <n v="6683.28"/>
    <n v="152"/>
    <n v="15847.25"/>
    <n v="3846.2"/>
    <n v="12001.05"/>
    <n v="3880.99"/>
    <s v="North"/>
    <n v="6683.28"/>
    <n v="2284.8499999999995"/>
  </r>
  <r>
    <s v="ORD00037"/>
    <x v="40"/>
    <s v="CUST0067"/>
    <s v="PROD0027"/>
    <n v="1"/>
    <x v="1"/>
    <n v="15"/>
    <s v="Customer_67"/>
    <x v="1"/>
    <n v="58"/>
    <x v="6"/>
    <x v="1"/>
    <d v="2023-07-24T00:00:00"/>
    <x v="0"/>
    <s v="Product_27"/>
    <x v="0"/>
    <x v="0"/>
    <n v="2340.46"/>
    <n v="2600.46"/>
    <n v="245"/>
    <n v="15932.86"/>
    <n v="2558.7399999999998"/>
    <n v="13374.12"/>
    <n v="1209.19"/>
    <s v="West"/>
    <n v="2600.46"/>
    <n v="260"/>
  </r>
  <r>
    <s v="ORD00027"/>
    <x v="41"/>
    <s v="CUST0033"/>
    <s v="PROD0022"/>
    <n v="5"/>
    <x v="3"/>
    <n v="23"/>
    <s v="Customer_33"/>
    <x v="0"/>
    <n v="33"/>
    <x v="6"/>
    <x v="2"/>
    <d v="2024-01-14T00:00:00"/>
    <x v="0"/>
    <s v="Product_22"/>
    <x v="3"/>
    <x v="1"/>
    <n v="2704.31"/>
    <n v="4105"/>
    <n v="48"/>
    <n v="6568.65"/>
    <n v="1508.32"/>
    <n v="5060.33"/>
    <n v="223.31"/>
    <s v="North"/>
    <n v="20525"/>
    <n v="7003.4500000000007"/>
  </r>
  <r>
    <s v="ORD00028"/>
    <x v="42"/>
    <s v="CUST0037"/>
    <s v="PROD0052"/>
    <n v="6"/>
    <x v="0"/>
    <n v="0"/>
    <s v="Customer_37"/>
    <x v="1"/>
    <n v="55"/>
    <x v="7"/>
    <x v="5"/>
    <d v="2024-11-23T00:00:00"/>
    <x v="1"/>
    <s v="Product_52"/>
    <x v="0"/>
    <x v="2"/>
    <n v="3470.49"/>
    <n v="5407.89"/>
    <n v="141"/>
    <n v="16730.79"/>
    <n v="2016.96"/>
    <n v="14713.83"/>
    <n v="1667.91"/>
    <s v="East"/>
    <n v="32447.340000000004"/>
    <n v="11624.400000000003"/>
  </r>
  <r>
    <s v="ORD00117"/>
    <x v="43"/>
    <s v="CUST0119"/>
    <s v="PROD0012"/>
    <n v="5"/>
    <x v="1"/>
    <n v="6"/>
    <s v="Customer_119"/>
    <x v="0"/>
    <n v="36"/>
    <x v="4"/>
    <x v="4"/>
    <d v="2022-02-07T00:00:00"/>
    <x v="2"/>
    <s v="Product_12"/>
    <x v="0"/>
    <x v="2"/>
    <n v="762.02"/>
    <n v="1161.9100000000001"/>
    <n v="293"/>
    <n v="1940.36"/>
    <n v="332.85"/>
    <n v="1607.51"/>
    <n v="1519.04"/>
    <s v="South"/>
    <n v="5809.55"/>
    <n v="1999.4500000000005"/>
  </r>
  <r>
    <s v="ORD00076"/>
    <x v="44"/>
    <s v="CUST0005"/>
    <s v="PROD0043"/>
    <n v="3"/>
    <x v="0"/>
    <n v="21"/>
    <s v="Customer_5"/>
    <x v="0"/>
    <n v="52"/>
    <x v="3"/>
    <x v="2"/>
    <d v="2022-04-06T00:00:00"/>
    <x v="1"/>
    <s v="Product_43"/>
    <x v="3"/>
    <x v="1"/>
    <n v="4570.75"/>
    <n v="5891.26"/>
    <n v="285"/>
    <n v="8725.6299999999992"/>
    <n v="1826.01"/>
    <n v="6899.62"/>
    <n v="951.36"/>
    <s v="East"/>
    <n v="17673.78"/>
    <n v="3961.5300000000007"/>
  </r>
  <r>
    <s v="ORD00030"/>
    <x v="45"/>
    <s v="CUST0022"/>
    <s v="PROD0045"/>
    <n v="2"/>
    <x v="1"/>
    <n v="9"/>
    <s v="Customer_22"/>
    <x v="0"/>
    <n v="43"/>
    <x v="6"/>
    <x v="3"/>
    <d v="2022-12-01T00:00:00"/>
    <x v="2"/>
    <s v="Product_45"/>
    <x v="0"/>
    <x v="1"/>
    <n v="926.86"/>
    <n v="1109.73"/>
    <n v="287"/>
    <n v="12763.24"/>
    <n v="2966.28"/>
    <n v="9796.9599999999991"/>
    <n v="4077.61"/>
    <s v="North"/>
    <n v="2219.46"/>
    <n v="365.74"/>
  </r>
  <r>
    <s v="ORD00153"/>
    <x v="46"/>
    <s v="CUST0013"/>
    <s v="PROD0013"/>
    <n v="5"/>
    <x v="3"/>
    <n v="4"/>
    <s v="Customer_13"/>
    <x v="1"/>
    <n v="26"/>
    <x v="7"/>
    <x v="2"/>
    <d v="2025-04-12T00:00:00"/>
    <x v="2"/>
    <s v="Product_13"/>
    <x v="1"/>
    <x v="3"/>
    <n v="3957.37"/>
    <n v="5045.3500000000004"/>
    <n v="227"/>
    <n v="1893.59"/>
    <n v="6.08"/>
    <n v="1887.51"/>
    <n v="2769.97"/>
    <s v="South"/>
    <n v="25226.75"/>
    <n v="5439.9000000000024"/>
  </r>
  <r>
    <s v="ORD00031"/>
    <x v="47"/>
    <s v="CUST0024"/>
    <s v="PROD0052"/>
    <n v="2"/>
    <x v="2"/>
    <n v="21"/>
    <s v="Customer_24"/>
    <x v="0"/>
    <n v="22"/>
    <x v="7"/>
    <x v="5"/>
    <d v="2023-09-21T00:00:00"/>
    <x v="0"/>
    <s v="Product_52"/>
    <x v="0"/>
    <x v="2"/>
    <n v="3470.49"/>
    <n v="5407.89"/>
    <n v="141"/>
    <n v="19553.73"/>
    <n v="1332.8"/>
    <n v="18220.93"/>
    <n v="4508.3"/>
    <s v="East"/>
    <n v="10815.78"/>
    <n v="3874.8000000000011"/>
  </r>
  <r>
    <s v="ORD00032"/>
    <x v="48"/>
    <s v="CUST0114"/>
    <s v="PROD0047"/>
    <n v="2"/>
    <x v="0"/>
    <n v="23"/>
    <s v="Customer_114"/>
    <x v="0"/>
    <n v="35"/>
    <x v="0"/>
    <x v="1"/>
    <d v="2023-11-29T00:00:00"/>
    <x v="1"/>
    <s v="Product_47"/>
    <x v="3"/>
    <x v="0"/>
    <n v="1358.27"/>
    <n v="1886.86"/>
    <n v="153"/>
    <n v="16453.349999999999"/>
    <n v="3027.72"/>
    <n v="13425.63"/>
    <n v="1644.86"/>
    <s v="North"/>
    <n v="3773.72"/>
    <n v="1057.1799999999998"/>
  </r>
  <r>
    <s v="ORD00050"/>
    <x v="49"/>
    <s v="CUST0094"/>
    <s v="PROD0015"/>
    <n v="6"/>
    <x v="2"/>
    <n v="11"/>
    <s v="Customer_94"/>
    <x v="0"/>
    <n v="22"/>
    <x v="7"/>
    <x v="0"/>
    <d v="2025-02-13T00:00:00"/>
    <x v="1"/>
    <s v="Product_15"/>
    <x v="3"/>
    <x v="3"/>
    <n v="4133.24"/>
    <n v="6302.13"/>
    <n v="299"/>
    <n v="14154.8"/>
    <n v="3352.66"/>
    <n v="10802.14"/>
    <n v="1054.77"/>
    <s v="East"/>
    <n v="37812.78"/>
    <n v="13013.340000000002"/>
  </r>
  <r>
    <s v="ORD00033"/>
    <x v="50"/>
    <s v="CUST0158"/>
    <s v="PROD0005"/>
    <n v="3"/>
    <x v="0"/>
    <n v="2"/>
    <s v="Customer_158"/>
    <x v="0"/>
    <n v="53"/>
    <x v="6"/>
    <x v="4"/>
    <d v="2025-03-29T00:00:00"/>
    <x v="2"/>
    <s v="Product_5"/>
    <x v="1"/>
    <x v="1"/>
    <n v="3023.88"/>
    <n v="3903.42"/>
    <n v="217"/>
    <n v="10063.23"/>
    <n v="2088.39"/>
    <n v="7974.84"/>
    <n v="3566.82"/>
    <s v="East"/>
    <n v="11710.26"/>
    <n v="2638.62"/>
  </r>
  <r>
    <s v="ORD00034"/>
    <x v="51"/>
    <s v="CUST0172"/>
    <s v="PROD0044"/>
    <n v="2"/>
    <x v="2"/>
    <n v="12"/>
    <s v="Customer_172"/>
    <x v="0"/>
    <n v="29"/>
    <x v="0"/>
    <x v="0"/>
    <d v="2023-08-16T00:00:00"/>
    <x v="0"/>
    <s v="Product_44"/>
    <x v="3"/>
    <x v="2"/>
    <n v="1622.17"/>
    <n v="1993.72"/>
    <n v="262"/>
    <n v="2788.65"/>
    <n v="368.78"/>
    <n v="2419.87"/>
    <n v="1403.62"/>
    <s v="North"/>
    <n v="3987.44"/>
    <n v="743.09999999999991"/>
  </r>
  <r>
    <s v="ORD00045"/>
    <x v="52"/>
    <s v="CUST0098"/>
    <s v="PROD0036"/>
    <n v="1"/>
    <x v="2"/>
    <n v="11"/>
    <s v="Customer_98"/>
    <x v="1"/>
    <n v="22"/>
    <x v="3"/>
    <x v="5"/>
    <d v="2024-02-29T00:00:00"/>
    <x v="2"/>
    <s v="Product_36"/>
    <x v="3"/>
    <x v="0"/>
    <n v="1637.53"/>
    <n v="1892.5"/>
    <n v="169"/>
    <n v="1183.28"/>
    <n v="134.19999999999999"/>
    <n v="1049.08"/>
    <n v="1980.34"/>
    <s v="East"/>
    <n v="1892.5"/>
    <n v="254.97000000000003"/>
  </r>
  <r>
    <s v="ORD00035"/>
    <x v="53"/>
    <s v="CUST0132"/>
    <s v="PROD0001"/>
    <n v="4"/>
    <x v="1"/>
    <n v="19"/>
    <s v="Customer_132"/>
    <x v="1"/>
    <n v="54"/>
    <x v="4"/>
    <x v="5"/>
    <d v="2024-05-19T00:00:00"/>
    <x v="2"/>
    <s v="Product_1"/>
    <x v="2"/>
    <x v="2"/>
    <n v="4426.51"/>
    <n v="5123.7299999999996"/>
    <n v="298"/>
    <n v="15664.97"/>
    <n v="3464.54"/>
    <n v="12200.43"/>
    <n v="3912.95"/>
    <s v="North"/>
    <n v="20494.919999999998"/>
    <n v="2788.8799999999974"/>
  </r>
  <r>
    <s v="ORD00160"/>
    <x v="5"/>
    <s v="CUST0016"/>
    <s v="PROD0036"/>
    <n v="4"/>
    <x v="3"/>
    <n v="1"/>
    <s v="Customer_16"/>
    <x v="1"/>
    <n v="60"/>
    <x v="1"/>
    <x v="2"/>
    <d v="2022-03-27T00:00:00"/>
    <x v="2"/>
    <s v="Product_36"/>
    <x v="3"/>
    <x v="0"/>
    <n v="1637.53"/>
    <n v="1892.5"/>
    <n v="169"/>
    <n v="13601.92"/>
    <n v="2234.14"/>
    <n v="11367.78"/>
    <n v="204.05"/>
    <s v="West"/>
    <n v="7570"/>
    <n v="1019.8800000000001"/>
  </r>
  <r>
    <s v="ORD00036"/>
    <x v="11"/>
    <s v="CUST0170"/>
    <s v="PROD0010"/>
    <n v="1"/>
    <x v="3"/>
    <n v="19"/>
    <s v="Customer_170"/>
    <x v="1"/>
    <n v="37"/>
    <x v="5"/>
    <x v="5"/>
    <d v="2022-12-14T00:00:00"/>
    <x v="0"/>
    <s v="Product_10"/>
    <x v="3"/>
    <x v="2"/>
    <n v="830.87"/>
    <n v="1283.0999999999999"/>
    <n v="46"/>
    <n v="2539.86"/>
    <n v="445.48"/>
    <n v="2094.38"/>
    <n v="1236.23"/>
    <s v="South"/>
    <n v="1283.0999999999999"/>
    <n v="452.2299999999999"/>
  </r>
  <r>
    <s v="ORD00099"/>
    <x v="54"/>
    <s v="CUST0007"/>
    <s v="PROD0053"/>
    <n v="5"/>
    <x v="0"/>
    <n v="15"/>
    <s v="Customer_7"/>
    <x v="1"/>
    <n v="25"/>
    <x v="2"/>
    <x v="4"/>
    <d v="2022-07-14T00:00:00"/>
    <x v="2"/>
    <s v="Product_53"/>
    <x v="0"/>
    <x v="3"/>
    <n v="4675.05"/>
    <n v="5769.35"/>
    <n v="260"/>
    <n v="5834.29"/>
    <n v="634.52"/>
    <n v="5199.7700000000004"/>
    <n v="4080.26"/>
    <s v="North"/>
    <n v="28846.75"/>
    <n v="5471.5000000000009"/>
  </r>
  <r>
    <s v="ORD00074"/>
    <x v="55"/>
    <s v="CUST0016"/>
    <s v="PROD0019"/>
    <n v="3"/>
    <x v="1"/>
    <n v="23"/>
    <s v="Customer_16"/>
    <x v="1"/>
    <n v="60"/>
    <x v="1"/>
    <x v="2"/>
    <d v="2022-03-27T00:00:00"/>
    <x v="2"/>
    <s v="Product_19"/>
    <x v="1"/>
    <x v="2"/>
    <n v="1137.26"/>
    <n v="1649.58"/>
    <n v="243"/>
    <n v="14457.23"/>
    <n v="373.59"/>
    <n v="14083.64"/>
    <n v="2219.0500000000002"/>
    <s v="East"/>
    <n v="4948.74"/>
    <n v="1536.9599999999998"/>
  </r>
  <r>
    <s v="ORD00038"/>
    <x v="56"/>
    <s v="CUST0177"/>
    <s v="PROD0034"/>
    <n v="5"/>
    <x v="3"/>
    <n v="10"/>
    <s v="Customer_177"/>
    <x v="0"/>
    <n v="27"/>
    <x v="1"/>
    <x v="2"/>
    <d v="2024-05-22T00:00:00"/>
    <x v="2"/>
    <s v="Product_34"/>
    <x v="0"/>
    <x v="2"/>
    <n v="3479.48"/>
    <n v="5364.57"/>
    <n v="41"/>
    <n v="6723.76"/>
    <n v="994.42"/>
    <n v="5729.34"/>
    <n v="3980.73"/>
    <s v="East"/>
    <n v="26822.85"/>
    <n v="9425.4499999999989"/>
  </r>
  <r>
    <s v="ORD00179"/>
    <x v="57"/>
    <s v="CUST0007"/>
    <s v="PROD0045"/>
    <n v="1"/>
    <x v="3"/>
    <n v="9"/>
    <s v="Customer_7"/>
    <x v="1"/>
    <n v="25"/>
    <x v="2"/>
    <x v="4"/>
    <d v="2022-07-14T00:00:00"/>
    <x v="2"/>
    <s v="Product_45"/>
    <x v="0"/>
    <x v="1"/>
    <n v="926.86"/>
    <n v="1109.73"/>
    <n v="287"/>
    <n v="14608.64"/>
    <n v="3424.18"/>
    <n v="11184.46"/>
    <n v="2859.85"/>
    <s v="East"/>
    <n v="1109.73"/>
    <n v="182.87"/>
  </r>
  <r>
    <s v="ORD00039"/>
    <x v="58"/>
    <s v="CUST0032"/>
    <s v="PROD0019"/>
    <n v="2"/>
    <x v="1"/>
    <n v="23"/>
    <s v="Customer_32"/>
    <x v="1"/>
    <n v="43"/>
    <x v="5"/>
    <x v="5"/>
    <d v="2022-02-09T00:00:00"/>
    <x v="1"/>
    <s v="Product_19"/>
    <x v="1"/>
    <x v="2"/>
    <n v="1137.26"/>
    <n v="1649.58"/>
    <n v="243"/>
    <n v="19874.669999999998"/>
    <n v="1116.8900000000001"/>
    <n v="18757.78"/>
    <n v="122.56"/>
    <s v="West"/>
    <n v="3299.16"/>
    <n v="1024.6399999999999"/>
  </r>
  <r>
    <s v="ORD00040"/>
    <x v="59"/>
    <s v="CUST0040"/>
    <s v="PROD0001"/>
    <n v="4"/>
    <x v="2"/>
    <n v="23"/>
    <s v="Customer_40"/>
    <x v="1"/>
    <n v="28"/>
    <x v="3"/>
    <x v="4"/>
    <d v="2023-04-30T00:00:00"/>
    <x v="1"/>
    <s v="Product_1"/>
    <x v="2"/>
    <x v="2"/>
    <n v="4426.51"/>
    <n v="5123.7299999999996"/>
    <n v="298"/>
    <n v="18235.96"/>
    <n v="1276.19"/>
    <n v="16959.77"/>
    <n v="2426.14"/>
    <s v="West"/>
    <n v="20494.919999999998"/>
    <n v="2788.8799999999974"/>
  </r>
  <r>
    <s v="ORD00041"/>
    <x v="60"/>
    <s v="CUST0026"/>
    <s v="PROD0040"/>
    <n v="4"/>
    <x v="1"/>
    <n v="20"/>
    <s v="Customer_26"/>
    <x v="0"/>
    <n v="23"/>
    <x v="7"/>
    <x v="5"/>
    <d v="2022-05-07T00:00:00"/>
    <x v="1"/>
    <s v="Product_40"/>
    <x v="1"/>
    <x v="1"/>
    <n v="2345.7800000000002"/>
    <n v="2891.96"/>
    <n v="122"/>
    <n v="16301.71"/>
    <n v="3696.8"/>
    <n v="12604.91"/>
    <n v="4211.3900000000003"/>
    <s v="West"/>
    <n v="11567.84"/>
    <n v="2184.7199999999993"/>
  </r>
  <r>
    <s v="ORD00206"/>
    <x v="61"/>
    <s v="CUST0011"/>
    <s v="PROD0020"/>
    <n v="6"/>
    <x v="3"/>
    <n v="11"/>
    <s v="Customer_11"/>
    <x v="1"/>
    <n v="35"/>
    <x v="3"/>
    <x v="2"/>
    <d v="2023-05-06T00:00:00"/>
    <x v="1"/>
    <s v="Product_20"/>
    <x v="1"/>
    <x v="2"/>
    <n v="2649.82"/>
    <n v="3522.16"/>
    <n v="205"/>
    <n v="10221.49"/>
    <n v="2273.56"/>
    <n v="7947.93"/>
    <n v="703.77"/>
    <s v="East"/>
    <n v="21132.959999999999"/>
    <n v="5234.0399999999981"/>
  </r>
  <r>
    <s v="ORD00043"/>
    <x v="62"/>
    <s v="CUST0166"/>
    <s v="PROD0022"/>
    <n v="6"/>
    <x v="0"/>
    <n v="10"/>
    <s v="Customer_166"/>
    <x v="1"/>
    <n v="56"/>
    <x v="2"/>
    <x v="3"/>
    <d v="2023-06-22T00:00:00"/>
    <x v="2"/>
    <s v="Product_22"/>
    <x v="3"/>
    <x v="1"/>
    <n v="2704.31"/>
    <n v="4105"/>
    <n v="48"/>
    <n v="13900.96"/>
    <n v="2441.65"/>
    <n v="11459.31"/>
    <n v="2774.39"/>
    <s v="South"/>
    <n v="24630"/>
    <n v="8404.14"/>
  </r>
  <r>
    <s v="ORD00057"/>
    <x v="63"/>
    <s v="CUST0094"/>
    <s v="PROD0023"/>
    <n v="6"/>
    <x v="1"/>
    <n v="16"/>
    <s v="Customer_94"/>
    <x v="0"/>
    <n v="22"/>
    <x v="7"/>
    <x v="0"/>
    <d v="2025-02-13T00:00:00"/>
    <x v="1"/>
    <s v="Product_23"/>
    <x v="3"/>
    <x v="3"/>
    <n v="1390.81"/>
    <n v="1874.61"/>
    <n v="262"/>
    <n v="17915.580000000002"/>
    <n v="2708.11"/>
    <n v="15207.47"/>
    <n v="3980.01"/>
    <s v="North"/>
    <n v="11247.66"/>
    <n v="2902.7999999999997"/>
  </r>
  <r>
    <s v="ORD00044"/>
    <x v="3"/>
    <s v="CUST0114"/>
    <s v="PROD0040"/>
    <n v="3"/>
    <x v="0"/>
    <n v="12"/>
    <s v="Customer_114"/>
    <x v="0"/>
    <n v="35"/>
    <x v="0"/>
    <x v="1"/>
    <d v="2023-11-29T00:00:00"/>
    <x v="1"/>
    <s v="Product_40"/>
    <x v="1"/>
    <x v="1"/>
    <n v="2345.7800000000002"/>
    <n v="2891.96"/>
    <n v="122"/>
    <n v="1115.01"/>
    <n v="99.23"/>
    <n v="1015.78"/>
    <n v="4754.3500000000004"/>
    <s v="North"/>
    <n v="8675.880000000001"/>
    <n v="1638.5399999999995"/>
  </r>
  <r>
    <s v="ORD00138"/>
    <x v="8"/>
    <s v="CUST0019"/>
    <s v="PROD0023"/>
    <n v="2"/>
    <x v="3"/>
    <n v="19"/>
    <s v="Customer_19"/>
    <x v="0"/>
    <n v="60"/>
    <x v="3"/>
    <x v="2"/>
    <d v="2023-10-02T00:00:00"/>
    <x v="1"/>
    <s v="Product_23"/>
    <x v="3"/>
    <x v="3"/>
    <n v="1390.81"/>
    <n v="1874.61"/>
    <n v="262"/>
    <n v="13185.45"/>
    <n v="1612.9"/>
    <n v="11572.55"/>
    <n v="4343.01"/>
    <s v="North"/>
    <n v="3749.22"/>
    <n v="967.59999999999991"/>
  </r>
  <r>
    <s v="ORD00147"/>
    <x v="64"/>
    <s v="CUST0008"/>
    <s v="PROD0042"/>
    <n v="1"/>
    <x v="3"/>
    <n v="14"/>
    <s v="Customer_8"/>
    <x v="1"/>
    <n v="32"/>
    <x v="6"/>
    <x v="2"/>
    <d v="2022-08-18T00:00:00"/>
    <x v="2"/>
    <s v="Product_42"/>
    <x v="1"/>
    <x v="3"/>
    <n v="1858.72"/>
    <n v="2175.88"/>
    <n v="272"/>
    <n v="16132.28"/>
    <n v="2921.22"/>
    <n v="13211.06"/>
    <n v="1664.55"/>
    <s v="West"/>
    <n v="2175.88"/>
    <n v="317.16000000000008"/>
  </r>
  <r>
    <s v="ORD00046"/>
    <x v="65"/>
    <s v="CUST0041"/>
    <s v="PROD0028"/>
    <n v="2"/>
    <x v="0"/>
    <n v="25"/>
    <s v="Customer_41"/>
    <x v="0"/>
    <n v="23"/>
    <x v="1"/>
    <x v="0"/>
    <d v="2023-10-15T00:00:00"/>
    <x v="2"/>
    <s v="Product_28"/>
    <x v="1"/>
    <x v="3"/>
    <n v="2412.25"/>
    <n v="3672.51"/>
    <n v="100"/>
    <n v="2332.34"/>
    <n v="190.43"/>
    <n v="2141.91"/>
    <n v="2117.94"/>
    <s v="North"/>
    <n v="7345.02"/>
    <n v="2520.5200000000004"/>
  </r>
  <r>
    <s v="ORD00168"/>
    <x v="63"/>
    <s v="CUST0009"/>
    <s v="PROD0040"/>
    <n v="4"/>
    <x v="2"/>
    <n v="21"/>
    <s v="Customer_9"/>
    <x v="1"/>
    <n v="37"/>
    <x v="3"/>
    <x v="2"/>
    <d v="2023-12-10T00:00:00"/>
    <x v="1"/>
    <s v="Product_40"/>
    <x v="1"/>
    <x v="1"/>
    <n v="2345.7800000000002"/>
    <n v="2891.96"/>
    <n v="122"/>
    <n v="7405.57"/>
    <n v="1211.6400000000001"/>
    <n v="6193.93"/>
    <n v="2788.94"/>
    <s v="North"/>
    <n v="11567.84"/>
    <n v="2184.7199999999993"/>
  </r>
  <r>
    <s v="ORD00203"/>
    <x v="66"/>
    <s v="CUST0015"/>
    <s v="PROD0040"/>
    <n v="4"/>
    <x v="1"/>
    <n v="18"/>
    <s v="Customer_15"/>
    <x v="0"/>
    <n v="29"/>
    <x v="7"/>
    <x v="2"/>
    <d v="2022-11-11T00:00:00"/>
    <x v="0"/>
    <s v="Product_40"/>
    <x v="1"/>
    <x v="1"/>
    <n v="2345.7800000000002"/>
    <n v="2891.96"/>
    <n v="122"/>
    <n v="15658.65"/>
    <n v="134.18"/>
    <n v="15524.47"/>
    <n v="198.28"/>
    <s v="South"/>
    <n v="11567.84"/>
    <n v="2184.7199999999993"/>
  </r>
  <r>
    <s v="ORD00049"/>
    <x v="55"/>
    <s v="CUST0204"/>
    <s v="PROD0021"/>
    <n v="1"/>
    <x v="3"/>
    <n v="15"/>
    <s v="Customer_204"/>
    <x v="0"/>
    <n v="37"/>
    <x v="4"/>
    <x v="2"/>
    <d v="2024-05-24T00:00:00"/>
    <x v="0"/>
    <s v="Product_21"/>
    <x v="3"/>
    <x v="3"/>
    <n v="2359.8000000000002"/>
    <n v="2910.71"/>
    <n v="211"/>
    <n v="4584.2700000000004"/>
    <n v="1060.79"/>
    <n v="3523.48"/>
    <n v="4283.1000000000004"/>
    <s v="South"/>
    <n v="2910.71"/>
    <n v="550.90999999999985"/>
  </r>
  <r>
    <s v="ORD00051"/>
    <x v="67"/>
    <s v="CUST0047"/>
    <s v="PROD0026"/>
    <n v="5"/>
    <x v="0"/>
    <n v="16"/>
    <s v="Customer_47"/>
    <x v="0"/>
    <n v="41"/>
    <x v="2"/>
    <x v="4"/>
    <d v="2024-03-28T00:00:00"/>
    <x v="1"/>
    <s v="Product_26"/>
    <x v="0"/>
    <x v="1"/>
    <n v="1612.7"/>
    <n v="1932.63"/>
    <n v="278"/>
    <n v="9580.7099999999991"/>
    <n v="1948.82"/>
    <n v="7631.89"/>
    <n v="4877.58"/>
    <s v="East"/>
    <n v="9663.1500000000015"/>
    <n v="1599.6500000000003"/>
  </r>
  <r>
    <s v="ORD00052"/>
    <x v="68"/>
    <s v="CUST0101"/>
    <s v="PROD0039"/>
    <n v="5"/>
    <x v="3"/>
    <n v="20"/>
    <s v="Customer_101"/>
    <x v="1"/>
    <n v="33"/>
    <x v="6"/>
    <x v="0"/>
    <d v="2022-10-16T00:00:00"/>
    <x v="0"/>
    <s v="Product_39"/>
    <x v="0"/>
    <x v="2"/>
    <n v="3696.72"/>
    <n v="4397.13"/>
    <n v="92"/>
    <n v="764.71"/>
    <n v="37.590000000000003"/>
    <n v="727.12"/>
    <n v="4801.2700000000004"/>
    <s v="South"/>
    <n v="21985.65"/>
    <n v="3502.0500000000015"/>
  </r>
  <r>
    <s v="ORD00053"/>
    <x v="69"/>
    <s v="CUST0085"/>
    <s v="PROD0004"/>
    <n v="2"/>
    <x v="3"/>
    <n v="22"/>
    <s v="Customer_85"/>
    <x v="1"/>
    <n v="56"/>
    <x v="1"/>
    <x v="2"/>
    <d v="2023-06-26T00:00:00"/>
    <x v="2"/>
    <s v="Product_4"/>
    <x v="0"/>
    <x v="0"/>
    <n v="4318.8599999999997"/>
    <n v="4880.6400000000003"/>
    <n v="149"/>
    <n v="10082.42"/>
    <n v="870.58"/>
    <n v="9211.84"/>
    <n v="4021.57"/>
    <s v="East"/>
    <n v="9761.2800000000007"/>
    <n v="1123.5600000000013"/>
  </r>
  <r>
    <s v="ORD00086"/>
    <x v="11"/>
    <s v="CUST0089"/>
    <s v="PROD0041"/>
    <n v="5"/>
    <x v="0"/>
    <n v="13"/>
    <s v="Customer_89"/>
    <x v="0"/>
    <n v="44"/>
    <x v="5"/>
    <x v="4"/>
    <d v="2022-12-23T00:00:00"/>
    <x v="0"/>
    <s v="Product_41"/>
    <x v="2"/>
    <x v="1"/>
    <n v="3358.26"/>
    <n v="4345.1099999999997"/>
    <n v="179"/>
    <n v="11558.45"/>
    <n v="9.1999999999999993"/>
    <n v="11549.25"/>
    <n v="3377.69"/>
    <s v="North"/>
    <n v="21725.55"/>
    <n v="4934.2499999999973"/>
  </r>
  <r>
    <s v="ORD00054"/>
    <x v="70"/>
    <s v="CUST0115"/>
    <s v="PROD0013"/>
    <n v="2"/>
    <x v="1"/>
    <n v="13"/>
    <s v="Customer_115"/>
    <x v="0"/>
    <n v="20"/>
    <x v="6"/>
    <x v="0"/>
    <d v="2022-08-19T00:00:00"/>
    <x v="2"/>
    <s v="Product_13"/>
    <x v="1"/>
    <x v="3"/>
    <n v="3957.37"/>
    <n v="5045.3500000000004"/>
    <n v="227"/>
    <n v="10016.67"/>
    <n v="1852.63"/>
    <n v="8164.04"/>
    <n v="4011.79"/>
    <s v="East"/>
    <n v="10090.700000000001"/>
    <n v="2175.9600000000009"/>
  </r>
  <r>
    <s v="ORD00193"/>
    <x v="71"/>
    <s v="CUST0089"/>
    <s v="PROD0054"/>
    <n v="2"/>
    <x v="1"/>
    <n v="20"/>
    <s v="Customer_89"/>
    <x v="0"/>
    <n v="44"/>
    <x v="5"/>
    <x v="4"/>
    <d v="2022-12-23T00:00:00"/>
    <x v="0"/>
    <s v="Product_54"/>
    <x v="1"/>
    <x v="0"/>
    <n v="4727.87"/>
    <n v="6561"/>
    <n v="290"/>
    <n v="3160.94"/>
    <n v="456.28"/>
    <n v="2704.66"/>
    <n v="2897.16"/>
    <s v="East"/>
    <n v="13122"/>
    <n v="3666.26"/>
  </r>
  <r>
    <s v="ORD00055"/>
    <x v="72"/>
    <s v="CUST0050"/>
    <s v="PROD0051"/>
    <n v="2"/>
    <x v="1"/>
    <n v="7"/>
    <s v="Customer_50"/>
    <x v="1"/>
    <n v="23"/>
    <x v="3"/>
    <x v="1"/>
    <d v="2024-04-03T00:00:00"/>
    <x v="1"/>
    <s v="Product_51"/>
    <x v="0"/>
    <x v="1"/>
    <n v="1607.82"/>
    <n v="2197.14"/>
    <n v="27"/>
    <n v="11371.09"/>
    <n v="2120.6999999999998"/>
    <n v="9250.39"/>
    <n v="2886.72"/>
    <s v="North"/>
    <n v="4394.28"/>
    <n v="1178.6399999999999"/>
  </r>
  <r>
    <s v="ORD00176"/>
    <x v="73"/>
    <s v="CUST0017"/>
    <s v="PROD0035"/>
    <n v="6"/>
    <x v="0"/>
    <n v="10"/>
    <s v="Customer_17"/>
    <x v="1"/>
    <n v="53"/>
    <x v="2"/>
    <x v="0"/>
    <d v="2024-04-04T00:00:00"/>
    <x v="1"/>
    <s v="Product_35"/>
    <x v="0"/>
    <x v="3"/>
    <n v="1830.22"/>
    <n v="2820.9"/>
    <n v="11"/>
    <n v="19784.29"/>
    <n v="1269.6500000000001"/>
    <n v="18514.64"/>
    <n v="538.04999999999995"/>
    <s v="South"/>
    <n v="16925.400000000001"/>
    <n v="5944.08"/>
  </r>
  <r>
    <s v="ORD00056"/>
    <x v="74"/>
    <s v="CUST0103"/>
    <s v="PROD0048"/>
    <n v="6"/>
    <x v="0"/>
    <n v="5"/>
    <s v="Customer_103"/>
    <x v="0"/>
    <n v="23"/>
    <x v="6"/>
    <x v="4"/>
    <d v="2024-10-30T00:00:00"/>
    <x v="0"/>
    <s v="Product_48"/>
    <x v="2"/>
    <x v="0"/>
    <n v="4225.4799999999996"/>
    <n v="6100.15"/>
    <n v="279"/>
    <n v="4057.22"/>
    <n v="473.78"/>
    <n v="3583.44"/>
    <n v="281.07"/>
    <s v="South"/>
    <n v="36600.899999999994"/>
    <n v="11248.02"/>
  </r>
  <r>
    <s v="ORD00080"/>
    <x v="75"/>
    <s v="CUST0043"/>
    <s v="PROD0050"/>
    <n v="5"/>
    <x v="1"/>
    <n v="15"/>
    <s v="Customer_43"/>
    <x v="1"/>
    <n v="36"/>
    <x v="7"/>
    <x v="4"/>
    <d v="2023-06-26T00:00:00"/>
    <x v="0"/>
    <s v="Product_50"/>
    <x v="0"/>
    <x v="3"/>
    <n v="2100.67"/>
    <n v="3046.71"/>
    <n v="206"/>
    <n v="9079.64"/>
    <n v="779.99"/>
    <n v="8299.65"/>
    <n v="3540.02"/>
    <s v="West"/>
    <n v="15233.55"/>
    <n v="4730.2"/>
  </r>
  <r>
    <s v="ORD00174"/>
    <x v="76"/>
    <s v="CUST0053"/>
    <s v="PROD0050"/>
    <n v="3"/>
    <x v="3"/>
    <n v="3"/>
    <s v="Customer_53"/>
    <x v="1"/>
    <n v="40"/>
    <x v="4"/>
    <x v="1"/>
    <d v="2023-03-10T00:00:00"/>
    <x v="0"/>
    <s v="Product_50"/>
    <x v="0"/>
    <x v="3"/>
    <n v="2100.67"/>
    <n v="3046.71"/>
    <n v="206"/>
    <n v="6943.77"/>
    <n v="1400.42"/>
    <n v="5543.35"/>
    <n v="1200.7"/>
    <s v="South"/>
    <n v="9140.130000000001"/>
    <n v="2838.12"/>
  </r>
  <r>
    <s v="ORD00058"/>
    <x v="11"/>
    <s v="CUST0117"/>
    <s v="PROD0030"/>
    <n v="1"/>
    <x v="0"/>
    <n v="4"/>
    <s v="Customer_117"/>
    <x v="1"/>
    <n v="28"/>
    <x v="1"/>
    <x v="1"/>
    <d v="2023-03-12T00:00:00"/>
    <x v="0"/>
    <s v="Product_30"/>
    <x v="1"/>
    <x v="3"/>
    <n v="3959.29"/>
    <n v="5340.73"/>
    <n v="91"/>
    <n v="3669.18"/>
    <n v="404.38"/>
    <n v="3264.8"/>
    <n v="1355.84"/>
    <s v="West"/>
    <n v="5340.73"/>
    <n v="1381.4399999999996"/>
  </r>
  <r>
    <s v="ORD00215"/>
    <x v="77"/>
    <s v="CUST0174"/>
    <s v="PROD0057"/>
    <n v="4"/>
    <x v="0"/>
    <n v="23"/>
    <s v="Customer_174"/>
    <x v="0"/>
    <n v="25"/>
    <x v="3"/>
    <x v="2"/>
    <d v="2022-12-03T00:00:00"/>
    <x v="1"/>
    <s v="Product_57"/>
    <x v="0"/>
    <x v="1"/>
    <n v="4764.59"/>
    <n v="5703.68"/>
    <n v="87"/>
    <n v="2874.86"/>
    <n v="192.67"/>
    <n v="2682.19"/>
    <n v="1716.22"/>
    <s v="East"/>
    <n v="22814.720000000001"/>
    <n v="3756.3600000000006"/>
  </r>
  <r>
    <s v="ORD00060"/>
    <x v="78"/>
    <s v="CUST0069"/>
    <s v="PROD0001"/>
    <n v="5"/>
    <x v="0"/>
    <n v="0"/>
    <s v="Customer_69"/>
    <x v="0"/>
    <n v="24"/>
    <x v="0"/>
    <x v="4"/>
    <d v="2023-04-10T00:00:00"/>
    <x v="2"/>
    <s v="Product_1"/>
    <x v="2"/>
    <x v="2"/>
    <n v="4426.51"/>
    <n v="5123.7299999999996"/>
    <n v="298"/>
    <n v="14847.44"/>
    <n v="3307.71"/>
    <n v="11539.73"/>
    <n v="921.99"/>
    <s v="North"/>
    <n v="25618.649999999998"/>
    <n v="3486.0999999999967"/>
  </r>
  <r>
    <s v="ORD00061"/>
    <x v="79"/>
    <s v="CUST0209"/>
    <s v="PROD0030"/>
    <n v="5"/>
    <x v="2"/>
    <n v="4"/>
    <s v="Customer_209"/>
    <x v="0"/>
    <n v="37"/>
    <x v="1"/>
    <x v="4"/>
    <d v="2024-10-31T00:00:00"/>
    <x v="1"/>
    <s v="Product_30"/>
    <x v="1"/>
    <x v="3"/>
    <n v="3959.29"/>
    <n v="5340.73"/>
    <n v="91"/>
    <n v="4356.9799999999996"/>
    <n v="1081.6300000000001"/>
    <n v="3275.35"/>
    <n v="1381.94"/>
    <s v="East"/>
    <n v="26703.649999999998"/>
    <n v="6907.199999999998"/>
  </r>
  <r>
    <s v="ORD00062"/>
    <x v="80"/>
    <s v="CUST0165"/>
    <s v="PROD0001"/>
    <n v="3"/>
    <x v="2"/>
    <n v="24"/>
    <s v="Customer_165"/>
    <x v="1"/>
    <n v="50"/>
    <x v="4"/>
    <x v="3"/>
    <d v="2025-03-23T00:00:00"/>
    <x v="1"/>
    <s v="Product_1"/>
    <x v="2"/>
    <x v="2"/>
    <n v="4426.51"/>
    <n v="5123.7299999999996"/>
    <n v="298"/>
    <n v="17995.93"/>
    <n v="3920.9"/>
    <n v="14075.03"/>
    <n v="2285.09"/>
    <s v="West"/>
    <n v="15371.189999999999"/>
    <n v="2091.659999999998"/>
  </r>
  <r>
    <s v="ORD00063"/>
    <x v="81"/>
    <s v="CUST0134"/>
    <s v="PROD0001"/>
    <n v="3"/>
    <x v="0"/>
    <n v="20"/>
    <s v="Customer_134"/>
    <x v="1"/>
    <n v="30"/>
    <x v="5"/>
    <x v="5"/>
    <d v="2022-10-01T00:00:00"/>
    <x v="2"/>
    <s v="Product_1"/>
    <x v="2"/>
    <x v="2"/>
    <n v="4426.51"/>
    <n v="5123.7299999999996"/>
    <n v="298"/>
    <n v="11523.62"/>
    <n v="566.87"/>
    <n v="10956.75"/>
    <n v="2778.47"/>
    <s v="East"/>
    <n v="15371.189999999999"/>
    <n v="2091.659999999998"/>
  </r>
  <r>
    <s v="ORD00064"/>
    <x v="58"/>
    <s v="CUST0123"/>
    <s v="PROD0057"/>
    <n v="3"/>
    <x v="2"/>
    <n v="13"/>
    <s v="Customer_123"/>
    <x v="0"/>
    <n v="49"/>
    <x v="2"/>
    <x v="2"/>
    <d v="2024-01-26T00:00:00"/>
    <x v="1"/>
    <s v="Product_57"/>
    <x v="0"/>
    <x v="1"/>
    <n v="4764.59"/>
    <n v="5703.68"/>
    <n v="87"/>
    <n v="1614.91"/>
    <n v="204.76"/>
    <n v="1410.15"/>
    <n v="3597.91"/>
    <s v="North"/>
    <n v="17111.04"/>
    <n v="2817.2700000000004"/>
  </r>
  <r>
    <s v="ORD00065"/>
    <x v="82"/>
    <s v="CUST0154"/>
    <s v="PROD0007"/>
    <n v="5"/>
    <x v="0"/>
    <n v="22"/>
    <s v="Customer_154"/>
    <x v="1"/>
    <n v="24"/>
    <x v="6"/>
    <x v="1"/>
    <d v="2023-01-05T00:00:00"/>
    <x v="2"/>
    <s v="Product_7"/>
    <x v="2"/>
    <x v="0"/>
    <n v="2849.7"/>
    <n v="3862"/>
    <n v="78"/>
    <n v="6616.38"/>
    <n v="1459.53"/>
    <n v="5156.8500000000004"/>
    <n v="2821.3"/>
    <s v="East"/>
    <n v="19310"/>
    <n v="5061.5000000000009"/>
  </r>
  <r>
    <s v="ORD00066"/>
    <x v="83"/>
    <s v="CUST0158"/>
    <s v="PROD0030"/>
    <n v="2"/>
    <x v="3"/>
    <n v="1"/>
    <s v="Customer_158"/>
    <x v="0"/>
    <n v="53"/>
    <x v="6"/>
    <x v="4"/>
    <d v="2025-03-29T00:00:00"/>
    <x v="2"/>
    <s v="Product_30"/>
    <x v="1"/>
    <x v="3"/>
    <n v="3959.29"/>
    <n v="5340.73"/>
    <n v="91"/>
    <n v="19901.16"/>
    <n v="866.38"/>
    <n v="19034.78"/>
    <n v="2370.2399999999998"/>
    <s v="North"/>
    <n v="10681.46"/>
    <n v="2762.8799999999992"/>
  </r>
  <r>
    <s v="ORD00067"/>
    <x v="84"/>
    <s v="CUST0139"/>
    <s v="PROD0008"/>
    <n v="6"/>
    <x v="0"/>
    <n v="15"/>
    <s v="Customer_139"/>
    <x v="0"/>
    <n v="27"/>
    <x v="7"/>
    <x v="1"/>
    <d v="2023-12-22T00:00:00"/>
    <x v="2"/>
    <s v="Product_8"/>
    <x v="1"/>
    <x v="1"/>
    <n v="2961.83"/>
    <n v="4189.8100000000004"/>
    <n v="165"/>
    <n v="14977.16"/>
    <n v="528.36"/>
    <n v="14448.8"/>
    <n v="4753.22"/>
    <s v="North"/>
    <n v="25138.86"/>
    <n v="7367.8800000000028"/>
  </r>
  <r>
    <s v="ORD00110"/>
    <x v="85"/>
    <s v="CUST0026"/>
    <s v="PROD0025"/>
    <n v="4"/>
    <x v="0"/>
    <n v="2"/>
    <s v="Customer_26"/>
    <x v="0"/>
    <n v="23"/>
    <x v="7"/>
    <x v="5"/>
    <d v="2022-05-07T00:00:00"/>
    <x v="1"/>
    <s v="Product_25"/>
    <x v="2"/>
    <x v="1"/>
    <n v="4398.43"/>
    <n v="6683.28"/>
    <n v="152"/>
    <n v="12240.43"/>
    <n v="2810.07"/>
    <n v="9430.36"/>
    <n v="4032.92"/>
    <s v="South"/>
    <n v="26733.119999999999"/>
    <n v="9139.3999999999978"/>
  </r>
  <r>
    <s v="ORD00068"/>
    <x v="86"/>
    <s v="CUST0160"/>
    <s v="PROD0005"/>
    <n v="4"/>
    <x v="0"/>
    <n v="10"/>
    <s v="Customer_160"/>
    <x v="0"/>
    <n v="42"/>
    <x v="2"/>
    <x v="0"/>
    <d v="2022-10-24T00:00:00"/>
    <x v="1"/>
    <s v="Product_5"/>
    <x v="1"/>
    <x v="1"/>
    <n v="3023.88"/>
    <n v="3903.42"/>
    <n v="217"/>
    <n v="1150.83"/>
    <n v="14.33"/>
    <n v="1136.5"/>
    <n v="2619.3200000000002"/>
    <s v="South"/>
    <n v="15613.68"/>
    <n v="3518.16"/>
  </r>
  <r>
    <s v="ORD00209"/>
    <x v="87"/>
    <s v="CUST0026"/>
    <s v="PROD0058"/>
    <n v="3"/>
    <x v="1"/>
    <n v="25"/>
    <s v="Customer_26"/>
    <x v="0"/>
    <n v="23"/>
    <x v="7"/>
    <x v="5"/>
    <d v="2022-05-07T00:00:00"/>
    <x v="1"/>
    <s v="Product_58"/>
    <x v="1"/>
    <x v="1"/>
    <n v="1480.33"/>
    <n v="1709.3"/>
    <n v="229"/>
    <n v="6127.21"/>
    <n v="1351.29"/>
    <n v="4775.92"/>
    <n v="3852.27"/>
    <s v="West"/>
    <n v="5127.8999999999996"/>
    <n v="686.91000000000008"/>
  </r>
  <r>
    <s v="ORD00069"/>
    <x v="88"/>
    <s v="CUST0047"/>
    <s v="PROD0031"/>
    <n v="5"/>
    <x v="3"/>
    <n v="9"/>
    <s v="Customer_47"/>
    <x v="0"/>
    <n v="41"/>
    <x v="2"/>
    <x v="4"/>
    <d v="2024-03-28T00:00:00"/>
    <x v="1"/>
    <s v="Product_31"/>
    <x v="1"/>
    <x v="1"/>
    <n v="236.18"/>
    <n v="290.54000000000002"/>
    <n v="127"/>
    <n v="1218.03"/>
    <n v="12.53"/>
    <n v="1205.5"/>
    <n v="4412.33"/>
    <s v="West"/>
    <n v="1452.7"/>
    <n v="271.80000000000007"/>
  </r>
  <r>
    <s v="ORD00119"/>
    <x v="58"/>
    <s v="CUST0025"/>
    <s v="PROD0017"/>
    <n v="1"/>
    <x v="3"/>
    <n v="24"/>
    <s v="Customer_25"/>
    <x v="1"/>
    <n v="39"/>
    <x v="4"/>
    <x v="5"/>
    <d v="2022-06-05T00:00:00"/>
    <x v="1"/>
    <s v="Product_17"/>
    <x v="0"/>
    <x v="1"/>
    <n v="3612.18"/>
    <n v="3996.91"/>
    <n v="92"/>
    <n v="3438.3"/>
    <n v="556.70000000000005"/>
    <n v="2881.6"/>
    <n v="834.62"/>
    <s v="West"/>
    <n v="3996.91"/>
    <n v="384.73"/>
  </r>
  <r>
    <s v="ORD00070"/>
    <x v="89"/>
    <s v="CUST0200"/>
    <s v="PROD0049"/>
    <n v="5"/>
    <x v="2"/>
    <n v="21"/>
    <s v="Customer_200"/>
    <x v="1"/>
    <n v="59"/>
    <x v="5"/>
    <x v="5"/>
    <d v="2024-12-21T00:00:00"/>
    <x v="2"/>
    <s v="Product_49"/>
    <x v="0"/>
    <x v="2"/>
    <n v="4793.34"/>
    <n v="7058.65"/>
    <n v="107"/>
    <n v="8705.7800000000007"/>
    <n v="1154.32"/>
    <n v="7551.46"/>
    <n v="3942.08"/>
    <s v="East"/>
    <n v="35293.25"/>
    <n v="11326.549999999997"/>
  </r>
  <r>
    <s v="ORD00145"/>
    <x v="90"/>
    <s v="CUST0025"/>
    <s v="PROD0012"/>
    <n v="2"/>
    <x v="2"/>
    <n v="5"/>
    <s v="Customer_25"/>
    <x v="1"/>
    <n v="39"/>
    <x v="4"/>
    <x v="5"/>
    <d v="2022-06-05T00:00:00"/>
    <x v="1"/>
    <s v="Product_12"/>
    <x v="0"/>
    <x v="2"/>
    <n v="762.02"/>
    <n v="1161.9100000000001"/>
    <n v="293"/>
    <n v="9599.1299999999992"/>
    <n v="1221.6600000000001"/>
    <n v="8377.4699999999993"/>
    <n v="1345.66"/>
    <s v="West"/>
    <n v="2323.8200000000002"/>
    <n v="799.7800000000002"/>
  </r>
  <r>
    <s v="ORD00071"/>
    <x v="91"/>
    <s v="CUST0170"/>
    <s v="PROD0012"/>
    <n v="5"/>
    <x v="3"/>
    <n v="12"/>
    <s v="Customer_170"/>
    <x v="1"/>
    <n v="37"/>
    <x v="5"/>
    <x v="5"/>
    <d v="2022-12-14T00:00:00"/>
    <x v="0"/>
    <s v="Product_12"/>
    <x v="0"/>
    <x v="2"/>
    <n v="762.02"/>
    <n v="1161.9100000000001"/>
    <n v="293"/>
    <n v="1225.97"/>
    <n v="37.049999999999997"/>
    <n v="1188.92"/>
    <n v="4856.63"/>
    <s v="East"/>
    <n v="5809.55"/>
    <n v="1999.4500000000005"/>
  </r>
  <r>
    <s v="ORD00214"/>
    <x v="92"/>
    <s v="CUST0025"/>
    <s v="PROD0033"/>
    <n v="4"/>
    <x v="2"/>
    <n v="10"/>
    <s v="Customer_25"/>
    <x v="1"/>
    <n v="39"/>
    <x v="4"/>
    <x v="5"/>
    <d v="2022-06-05T00:00:00"/>
    <x v="1"/>
    <s v="Product_33"/>
    <x v="2"/>
    <x v="1"/>
    <n v="828.79"/>
    <n v="1227.1300000000001"/>
    <n v="228"/>
    <n v="16216.47"/>
    <n v="1992.34"/>
    <n v="14224.13"/>
    <n v="2252.89"/>
    <s v="West"/>
    <n v="4908.5200000000004"/>
    <n v="1593.3600000000006"/>
  </r>
  <r>
    <s v="ORD00218"/>
    <x v="93"/>
    <s v="CUST0025"/>
    <s v="PROD0037"/>
    <n v="2"/>
    <x v="2"/>
    <n v="9"/>
    <s v="Customer_25"/>
    <x v="1"/>
    <n v="39"/>
    <x v="4"/>
    <x v="5"/>
    <d v="2022-06-05T00:00:00"/>
    <x v="1"/>
    <s v="Product_37"/>
    <x v="2"/>
    <x v="2"/>
    <n v="662.05"/>
    <n v="1019.21"/>
    <n v="49"/>
    <n v="13109.52"/>
    <n v="474.33"/>
    <n v="12635.19"/>
    <n v="2096.35"/>
    <s v="South"/>
    <n v="2038.42"/>
    <n v="714.32000000000016"/>
  </r>
  <r>
    <s v="ORD00073"/>
    <x v="94"/>
    <s v="CUST0100"/>
    <s v="PROD0047"/>
    <n v="6"/>
    <x v="0"/>
    <n v="18"/>
    <s v="Customer_100"/>
    <x v="0"/>
    <n v="33"/>
    <x v="6"/>
    <x v="5"/>
    <d v="2023-03-06T00:00:00"/>
    <x v="1"/>
    <s v="Product_47"/>
    <x v="3"/>
    <x v="0"/>
    <n v="1358.27"/>
    <n v="1886.86"/>
    <n v="153"/>
    <n v="17275.150000000001"/>
    <n v="1021.19"/>
    <n v="16253.96"/>
    <n v="4624.32"/>
    <s v="South"/>
    <n v="11321.16"/>
    <n v="3171.5399999999995"/>
  </r>
  <r>
    <s v="ORD00182"/>
    <x v="95"/>
    <s v="CUST0145"/>
    <s v="PROD0060"/>
    <n v="3"/>
    <x v="1"/>
    <n v="11"/>
    <s v="Customer_145"/>
    <x v="1"/>
    <n v="49"/>
    <x v="1"/>
    <x v="0"/>
    <d v="2022-04-10T00:00:00"/>
    <x v="0"/>
    <s v="Product_60"/>
    <x v="1"/>
    <x v="2"/>
    <n v="4948.75"/>
    <n v="6628.41"/>
    <n v="268"/>
    <n v="11959.21"/>
    <n v="1470.96"/>
    <n v="10488.25"/>
    <n v="2352.5500000000002"/>
    <s v="South"/>
    <n v="19885.23"/>
    <n v="5038.9799999999996"/>
  </r>
  <r>
    <s v="ORD00075"/>
    <x v="96"/>
    <s v="CUST0214"/>
    <s v="PROD0006"/>
    <n v="3"/>
    <x v="3"/>
    <n v="10"/>
    <s v="Customer_214"/>
    <x v="1"/>
    <n v="22"/>
    <x v="0"/>
    <x v="4"/>
    <d v="2022-04-10T00:00:00"/>
    <x v="1"/>
    <s v="Product_6"/>
    <x v="1"/>
    <x v="1"/>
    <n v="2025.88"/>
    <n v="2513.29"/>
    <n v="67"/>
    <n v="11474.22"/>
    <n v="2868.16"/>
    <n v="8606.06"/>
    <n v="2150.94"/>
    <s v="South"/>
    <n v="7539.87"/>
    <n v="1462.2299999999996"/>
  </r>
  <r>
    <s v="ORD00115"/>
    <x v="79"/>
    <s v="CUST0029"/>
    <s v="PROD0039"/>
    <n v="4"/>
    <x v="0"/>
    <n v="21"/>
    <s v="Customer_29"/>
    <x v="0"/>
    <n v="40"/>
    <x v="0"/>
    <x v="1"/>
    <d v="2024-05-31T00:00:00"/>
    <x v="1"/>
    <s v="Product_39"/>
    <x v="0"/>
    <x v="2"/>
    <n v="3696.72"/>
    <n v="4397.13"/>
    <n v="92"/>
    <n v="9081.7000000000007"/>
    <n v="773.48"/>
    <n v="8308.2199999999993"/>
    <n v="4645.7"/>
    <s v="West"/>
    <n v="17588.52"/>
    <n v="2801.6400000000012"/>
  </r>
  <r>
    <s v="ORD00077"/>
    <x v="84"/>
    <s v="CUST0180"/>
    <s v="PROD0040"/>
    <n v="6"/>
    <x v="2"/>
    <n v="22"/>
    <s v="Customer_180"/>
    <x v="0"/>
    <n v="54"/>
    <x v="7"/>
    <x v="3"/>
    <d v="2024-02-15T00:00:00"/>
    <x v="2"/>
    <s v="Product_40"/>
    <x v="1"/>
    <x v="1"/>
    <n v="2345.7800000000002"/>
    <n v="2891.96"/>
    <n v="122"/>
    <n v="13753"/>
    <n v="3238.52"/>
    <n v="10514.48"/>
    <n v="397.17"/>
    <s v="North"/>
    <n v="17351.760000000002"/>
    <n v="3277.079999999999"/>
  </r>
  <r>
    <s v="ORD00116"/>
    <x v="97"/>
    <s v="CUST0029"/>
    <s v="PROD0057"/>
    <n v="2"/>
    <x v="0"/>
    <n v="22"/>
    <s v="Customer_29"/>
    <x v="0"/>
    <n v="40"/>
    <x v="0"/>
    <x v="1"/>
    <d v="2024-05-31T00:00:00"/>
    <x v="1"/>
    <s v="Product_57"/>
    <x v="0"/>
    <x v="1"/>
    <n v="4764.59"/>
    <n v="5703.68"/>
    <n v="87"/>
    <n v="12951.84"/>
    <n v="2653.04"/>
    <n v="10298.799999999999"/>
    <n v="2873.77"/>
    <s v="North"/>
    <n v="11407.36"/>
    <n v="1878.1800000000003"/>
  </r>
  <r>
    <s v="ORD00078"/>
    <x v="1"/>
    <s v="CUST0104"/>
    <s v="PROD0038"/>
    <n v="5"/>
    <x v="2"/>
    <n v="10"/>
    <s v="Customer_104"/>
    <x v="0"/>
    <n v="23"/>
    <x v="4"/>
    <x v="1"/>
    <d v="2023-07-06T00:00:00"/>
    <x v="1"/>
    <s v="Product_38"/>
    <x v="3"/>
    <x v="1"/>
    <n v="2369.11"/>
    <n v="2775.74"/>
    <n v="21"/>
    <n v="12736.35"/>
    <n v="351.09"/>
    <n v="12385.26"/>
    <n v="881.66"/>
    <s v="South"/>
    <n v="13878.699999999999"/>
    <n v="2033.1499999999983"/>
  </r>
  <r>
    <s v="ORD00079"/>
    <x v="98"/>
    <s v="CUST0088"/>
    <s v="PROD0001"/>
    <n v="4"/>
    <x v="2"/>
    <n v="15"/>
    <s v="Customer_88"/>
    <x v="0"/>
    <n v="53"/>
    <x v="6"/>
    <x v="2"/>
    <d v="2022-12-10T00:00:00"/>
    <x v="0"/>
    <s v="Product_1"/>
    <x v="2"/>
    <x v="2"/>
    <n v="4426.51"/>
    <n v="5123.7299999999996"/>
    <n v="298"/>
    <n v="7592.16"/>
    <n v="1767.73"/>
    <n v="5824.43"/>
    <n v="1444.14"/>
    <s v="South"/>
    <n v="20494.919999999998"/>
    <n v="2788.8799999999974"/>
  </r>
  <r>
    <s v="ORD00081"/>
    <x v="99"/>
    <s v="CUST0177"/>
    <s v="PROD0057"/>
    <n v="6"/>
    <x v="2"/>
    <n v="24"/>
    <s v="Customer_177"/>
    <x v="0"/>
    <n v="27"/>
    <x v="1"/>
    <x v="2"/>
    <d v="2024-05-22T00:00:00"/>
    <x v="2"/>
    <s v="Product_57"/>
    <x v="0"/>
    <x v="1"/>
    <n v="4764.59"/>
    <n v="5703.68"/>
    <n v="87"/>
    <n v="2523.21"/>
    <n v="488.69"/>
    <n v="2034.52"/>
    <n v="1246.57"/>
    <s v="North"/>
    <n v="34222.080000000002"/>
    <n v="5634.5400000000009"/>
  </r>
  <r>
    <s v="ORD00082"/>
    <x v="89"/>
    <s v="CUST0041"/>
    <s v="PROD0056"/>
    <n v="5"/>
    <x v="1"/>
    <n v="14"/>
    <s v="Customer_41"/>
    <x v="0"/>
    <n v="23"/>
    <x v="1"/>
    <x v="0"/>
    <d v="2023-10-15T00:00:00"/>
    <x v="2"/>
    <s v="Product_56"/>
    <x v="3"/>
    <x v="1"/>
    <n v="929.24"/>
    <n v="1350.29"/>
    <n v="22"/>
    <n v="17585.23"/>
    <n v="104.7"/>
    <n v="17480.53"/>
    <n v="318.58999999999997"/>
    <s v="South"/>
    <n v="6751.45"/>
    <n v="2105.25"/>
  </r>
  <r>
    <s v="ORD00083"/>
    <x v="13"/>
    <s v="CUST0052"/>
    <s v="PROD0027"/>
    <n v="4"/>
    <x v="3"/>
    <n v="2"/>
    <s v="Customer_52"/>
    <x v="1"/>
    <n v="34"/>
    <x v="5"/>
    <x v="0"/>
    <d v="2023-06-07T00:00:00"/>
    <x v="0"/>
    <s v="Product_27"/>
    <x v="0"/>
    <x v="0"/>
    <n v="2340.46"/>
    <n v="2600.46"/>
    <n v="245"/>
    <n v="11123.17"/>
    <n v="424.1"/>
    <n v="10699.07"/>
    <n v="380.83"/>
    <s v="North"/>
    <n v="10401.84"/>
    <n v="1040"/>
  </r>
  <r>
    <s v="ORD00084"/>
    <x v="100"/>
    <s v="CUST0182"/>
    <s v="PROD0050"/>
    <n v="1"/>
    <x v="0"/>
    <n v="4"/>
    <s v="Customer_182"/>
    <x v="1"/>
    <n v="59"/>
    <x v="2"/>
    <x v="1"/>
    <d v="2024-01-05T00:00:00"/>
    <x v="1"/>
    <s v="Product_50"/>
    <x v="0"/>
    <x v="3"/>
    <n v="2100.67"/>
    <n v="3046.71"/>
    <n v="206"/>
    <n v="9997.44"/>
    <n v="2307.86"/>
    <n v="7689.58"/>
    <n v="3703.98"/>
    <s v="North"/>
    <n v="3046.71"/>
    <n v="946.04"/>
  </r>
  <r>
    <s v="ORD00192"/>
    <x v="101"/>
    <s v="CUST0172"/>
    <s v="PROD0020"/>
    <n v="2"/>
    <x v="1"/>
    <n v="23"/>
    <s v="Customer_172"/>
    <x v="0"/>
    <n v="29"/>
    <x v="0"/>
    <x v="0"/>
    <d v="2023-08-16T00:00:00"/>
    <x v="0"/>
    <s v="Product_20"/>
    <x v="1"/>
    <x v="2"/>
    <n v="2649.82"/>
    <n v="3522.16"/>
    <n v="205"/>
    <n v="768.67"/>
    <n v="60.07"/>
    <n v="708.6"/>
    <n v="2952.12"/>
    <s v="South"/>
    <n v="7044.32"/>
    <n v="1744.6799999999994"/>
  </r>
  <r>
    <s v="ORD00085"/>
    <x v="102"/>
    <s v="CUST0108"/>
    <s v="PROD0022"/>
    <n v="4"/>
    <x v="1"/>
    <n v="9"/>
    <s v="Customer_108"/>
    <x v="0"/>
    <n v="57"/>
    <x v="2"/>
    <x v="1"/>
    <d v="2024-09-10T00:00:00"/>
    <x v="0"/>
    <s v="Product_22"/>
    <x v="3"/>
    <x v="1"/>
    <n v="2704.31"/>
    <n v="4105"/>
    <n v="48"/>
    <n v="14385.15"/>
    <n v="1784.29"/>
    <n v="12600.86"/>
    <n v="1896.91"/>
    <s v="West"/>
    <n v="16420"/>
    <n v="5602.76"/>
  </r>
  <r>
    <s v="ORD00087"/>
    <x v="103"/>
    <s v="CUST0044"/>
    <s v="PROD0001"/>
    <n v="4"/>
    <x v="0"/>
    <n v="15"/>
    <s v="Customer_44"/>
    <x v="0"/>
    <n v="43"/>
    <x v="5"/>
    <x v="0"/>
    <d v="2022-05-28T00:00:00"/>
    <x v="1"/>
    <s v="Product_1"/>
    <x v="2"/>
    <x v="2"/>
    <n v="4426.51"/>
    <n v="5123.7299999999996"/>
    <n v="298"/>
    <n v="12378.88"/>
    <n v="2478.54"/>
    <n v="9900.34"/>
    <n v="1612.86"/>
    <s v="North"/>
    <n v="20494.919999999998"/>
    <n v="2788.8799999999974"/>
  </r>
  <r>
    <s v="ORD00088"/>
    <x v="104"/>
    <s v="CUST0065"/>
    <s v="PROD0037"/>
    <n v="1"/>
    <x v="0"/>
    <n v="23"/>
    <s v="Customer_65"/>
    <x v="1"/>
    <n v="37"/>
    <x v="1"/>
    <x v="3"/>
    <d v="2022-12-24T00:00:00"/>
    <x v="2"/>
    <s v="Product_37"/>
    <x v="2"/>
    <x v="2"/>
    <n v="662.05"/>
    <n v="1019.21"/>
    <n v="49"/>
    <n v="2555.0100000000002"/>
    <n v="513.89"/>
    <n v="2041.12"/>
    <n v="3482.05"/>
    <s v="West"/>
    <n v="1019.21"/>
    <n v="357.16000000000008"/>
  </r>
  <r>
    <s v="ORD00114"/>
    <x v="105"/>
    <s v="CUST0170"/>
    <s v="PROD0053"/>
    <n v="6"/>
    <x v="3"/>
    <n v="19"/>
    <s v="Customer_170"/>
    <x v="1"/>
    <n v="37"/>
    <x v="5"/>
    <x v="5"/>
    <d v="2022-12-14T00:00:00"/>
    <x v="0"/>
    <s v="Product_53"/>
    <x v="0"/>
    <x v="3"/>
    <n v="4675.05"/>
    <n v="5769.35"/>
    <n v="260"/>
    <n v="13901.91"/>
    <n v="906.82"/>
    <n v="12995.09"/>
    <n v="1247.57"/>
    <s v="West"/>
    <n v="34616.100000000006"/>
    <n v="6565.8000000000011"/>
  </r>
  <r>
    <s v="ORD00089"/>
    <x v="72"/>
    <s v="CUST0044"/>
    <s v="PROD0055"/>
    <n v="4"/>
    <x v="3"/>
    <n v="12"/>
    <s v="Customer_44"/>
    <x v="0"/>
    <n v="43"/>
    <x v="5"/>
    <x v="0"/>
    <d v="2022-05-28T00:00:00"/>
    <x v="1"/>
    <s v="Product_55"/>
    <x v="3"/>
    <x v="3"/>
    <n v="4836.3999999999996"/>
    <n v="7004.05"/>
    <n v="98"/>
    <n v="7105.96"/>
    <n v="1706.26"/>
    <n v="5399.7"/>
    <n v="257.17"/>
    <s v="East"/>
    <n v="28016.2"/>
    <n v="8670.6000000000022"/>
  </r>
  <r>
    <s v="ORD00134"/>
    <x v="106"/>
    <s v="CUST0170"/>
    <s v="PROD0021"/>
    <n v="4"/>
    <x v="1"/>
    <n v="12"/>
    <s v="Customer_170"/>
    <x v="1"/>
    <n v="37"/>
    <x v="5"/>
    <x v="5"/>
    <d v="2022-12-14T00:00:00"/>
    <x v="0"/>
    <s v="Product_21"/>
    <x v="3"/>
    <x v="3"/>
    <n v="2359.8000000000002"/>
    <n v="2910.71"/>
    <n v="211"/>
    <n v="7062.7"/>
    <n v="1554.52"/>
    <n v="5508.18"/>
    <n v="319.67"/>
    <s v="South"/>
    <n v="11642.84"/>
    <n v="2203.6399999999994"/>
  </r>
  <r>
    <s v="ORD00090"/>
    <x v="107"/>
    <s v="CUST0068"/>
    <s v="PROD0010"/>
    <n v="2"/>
    <x v="1"/>
    <n v="22"/>
    <s v="Customer_68"/>
    <x v="0"/>
    <n v="37"/>
    <x v="6"/>
    <x v="0"/>
    <d v="2024-12-29T00:00:00"/>
    <x v="2"/>
    <s v="Product_10"/>
    <x v="3"/>
    <x v="2"/>
    <n v="830.87"/>
    <n v="1283.0999999999999"/>
    <n v="46"/>
    <n v="13754.38"/>
    <n v="2104.48"/>
    <n v="11649.9"/>
    <n v="2889.4"/>
    <s v="North"/>
    <n v="2566.1999999999998"/>
    <n v="904.45999999999981"/>
  </r>
  <r>
    <s v="ORD00159"/>
    <x v="108"/>
    <s v="CUST0170"/>
    <s v="PROD0056"/>
    <n v="4"/>
    <x v="3"/>
    <n v="8"/>
    <s v="Customer_170"/>
    <x v="1"/>
    <n v="37"/>
    <x v="5"/>
    <x v="5"/>
    <d v="2022-12-14T00:00:00"/>
    <x v="0"/>
    <s v="Product_56"/>
    <x v="3"/>
    <x v="1"/>
    <n v="929.24"/>
    <n v="1350.29"/>
    <n v="22"/>
    <n v="15528.05"/>
    <n v="438.49"/>
    <n v="15089.56"/>
    <n v="3088.54"/>
    <s v="North"/>
    <n v="5401.16"/>
    <n v="1684.1999999999998"/>
  </r>
  <r>
    <s v="ORD00091"/>
    <x v="109"/>
    <s v="CUST0060"/>
    <s v="PROD0013"/>
    <n v="1"/>
    <x v="0"/>
    <n v="17"/>
    <s v="Customer_60"/>
    <x v="0"/>
    <n v="30"/>
    <x v="0"/>
    <x v="5"/>
    <d v="2023-12-21T00:00:00"/>
    <x v="2"/>
    <s v="Product_13"/>
    <x v="1"/>
    <x v="3"/>
    <n v="3957.37"/>
    <n v="5045.3500000000004"/>
    <n v="227"/>
    <n v="7060.35"/>
    <n v="1154.9100000000001"/>
    <n v="5905.44"/>
    <n v="1238.3"/>
    <s v="South"/>
    <n v="5045.3500000000004"/>
    <n v="1087.9800000000005"/>
  </r>
  <r>
    <s v="ORD00097"/>
    <x v="1"/>
    <s v="CUST0036"/>
    <s v="PROD0028"/>
    <n v="3"/>
    <x v="1"/>
    <n v="2"/>
    <s v="Customer_36"/>
    <x v="1"/>
    <n v="47"/>
    <x v="6"/>
    <x v="0"/>
    <d v="2022-07-22T00:00:00"/>
    <x v="1"/>
    <s v="Product_28"/>
    <x v="1"/>
    <x v="3"/>
    <n v="2412.25"/>
    <n v="3672.51"/>
    <n v="100"/>
    <n v="1306"/>
    <n v="127.1"/>
    <n v="1178.9000000000001"/>
    <n v="301.77999999999997"/>
    <s v="West"/>
    <n v="11017.53"/>
    <n v="3780.7800000000007"/>
  </r>
  <r>
    <s v="ORD00092"/>
    <x v="18"/>
    <s v="CUST0047"/>
    <s v="PROD0042"/>
    <n v="1"/>
    <x v="3"/>
    <n v="0"/>
    <s v="Customer_47"/>
    <x v="0"/>
    <n v="41"/>
    <x v="2"/>
    <x v="4"/>
    <d v="2024-03-28T00:00:00"/>
    <x v="1"/>
    <s v="Product_42"/>
    <x v="1"/>
    <x v="3"/>
    <n v="1858.72"/>
    <n v="2175.88"/>
    <n v="272"/>
    <n v="4945.3599999999997"/>
    <n v="827.37"/>
    <n v="4117.99"/>
    <n v="4670.38"/>
    <s v="West"/>
    <n v="2175.88"/>
    <n v="317.16000000000008"/>
  </r>
  <r>
    <s v="ORD00093"/>
    <x v="62"/>
    <s v="CUST0106"/>
    <s v="PROD0006"/>
    <n v="5"/>
    <x v="0"/>
    <n v="25"/>
    <s v="Customer_106"/>
    <x v="0"/>
    <n v="25"/>
    <x v="1"/>
    <x v="0"/>
    <d v="2023-11-21T00:00:00"/>
    <x v="1"/>
    <s v="Product_6"/>
    <x v="1"/>
    <x v="1"/>
    <n v="2025.88"/>
    <n v="2513.29"/>
    <n v="67"/>
    <n v="7545.94"/>
    <n v="132.44999999999999"/>
    <n v="7413.49"/>
    <n v="1815.65"/>
    <s v="North"/>
    <n v="12566.45"/>
    <n v="2437.0499999999993"/>
  </r>
  <r>
    <s v="ORD00165"/>
    <x v="15"/>
    <s v="CUST0177"/>
    <s v="PROD0007"/>
    <n v="4"/>
    <x v="1"/>
    <n v="17"/>
    <s v="Customer_177"/>
    <x v="0"/>
    <n v="27"/>
    <x v="1"/>
    <x v="2"/>
    <d v="2024-05-22T00:00:00"/>
    <x v="2"/>
    <s v="Product_7"/>
    <x v="2"/>
    <x v="0"/>
    <n v="2849.7"/>
    <n v="3862"/>
    <n v="78"/>
    <n v="12339.21"/>
    <n v="1041.58"/>
    <n v="11297.63"/>
    <n v="401.7"/>
    <s v="South"/>
    <n v="15448"/>
    <n v="4049.2000000000007"/>
  </r>
  <r>
    <s v="ORD00095"/>
    <x v="110"/>
    <s v="CUST0127"/>
    <s v="PROD0020"/>
    <n v="4"/>
    <x v="2"/>
    <n v="21"/>
    <s v="Customer_127"/>
    <x v="0"/>
    <n v="46"/>
    <x v="7"/>
    <x v="5"/>
    <d v="2023-11-03T00:00:00"/>
    <x v="1"/>
    <s v="Product_20"/>
    <x v="1"/>
    <x v="2"/>
    <n v="2649.82"/>
    <n v="3522.16"/>
    <n v="205"/>
    <n v="16785.560000000001"/>
    <n v="2161.85"/>
    <n v="14623.71"/>
    <n v="4189.46"/>
    <s v="West"/>
    <n v="14088.64"/>
    <n v="3489.3599999999988"/>
  </r>
  <r>
    <s v="ORD00096"/>
    <x v="111"/>
    <s v="CUST0071"/>
    <s v="PROD0059"/>
    <n v="3"/>
    <x v="1"/>
    <n v="19"/>
    <s v="Customer_71"/>
    <x v="0"/>
    <n v="21"/>
    <x v="5"/>
    <x v="3"/>
    <d v="2024-07-16T00:00:00"/>
    <x v="0"/>
    <s v="Product_59"/>
    <x v="1"/>
    <x v="3"/>
    <n v="1492.62"/>
    <n v="2285.1999999999998"/>
    <n v="106"/>
    <n v="15744.07"/>
    <n v="740.93"/>
    <n v="15003.14"/>
    <n v="1801.97"/>
    <s v="East"/>
    <n v="6855.5999999999995"/>
    <n v="2377.7399999999998"/>
  </r>
  <r>
    <s v="ORD00098"/>
    <x v="112"/>
    <s v="CUST0191"/>
    <s v="PROD0001"/>
    <n v="2"/>
    <x v="3"/>
    <n v="17"/>
    <s v="Customer_191"/>
    <x v="1"/>
    <n v="41"/>
    <x v="3"/>
    <x v="2"/>
    <d v="2023-09-23T00:00:00"/>
    <x v="1"/>
    <s v="Product_1"/>
    <x v="2"/>
    <x v="2"/>
    <n v="4426.51"/>
    <n v="5123.7299999999996"/>
    <n v="298"/>
    <n v="17679.11"/>
    <n v="2020.39"/>
    <n v="15658.72"/>
    <n v="904.55"/>
    <s v="West"/>
    <n v="10247.459999999999"/>
    <n v="1394.4399999999987"/>
  </r>
  <r>
    <s v="ORD00100"/>
    <x v="35"/>
    <s v="CUST0113"/>
    <s v="PROD0018"/>
    <n v="2"/>
    <x v="3"/>
    <n v="0"/>
    <s v="Customer_113"/>
    <x v="1"/>
    <n v="56"/>
    <x v="5"/>
    <x v="3"/>
    <d v="2023-09-17T00:00:00"/>
    <x v="2"/>
    <s v="Product_18"/>
    <x v="2"/>
    <x v="1"/>
    <n v="1290.44"/>
    <n v="1756.94"/>
    <n v="226"/>
    <n v="7025.31"/>
    <n v="1338.84"/>
    <n v="5686.47"/>
    <n v="2862.84"/>
    <s v="South"/>
    <n v="3513.88"/>
    <n v="933"/>
  </r>
  <r>
    <s v="ORD00101"/>
    <x v="113"/>
    <s v="CUST0143"/>
    <s v="PROD0030"/>
    <n v="6"/>
    <x v="0"/>
    <n v="17"/>
    <s v="Customer_143"/>
    <x v="1"/>
    <n v="25"/>
    <x v="2"/>
    <x v="5"/>
    <d v="2024-01-24T00:00:00"/>
    <x v="0"/>
    <s v="Product_30"/>
    <x v="1"/>
    <x v="3"/>
    <n v="3959.29"/>
    <n v="5340.73"/>
    <n v="91"/>
    <n v="9531.16"/>
    <n v="1644.06"/>
    <n v="7887.1"/>
    <n v="3398.6"/>
    <s v="South"/>
    <n v="32044.379999999997"/>
    <n v="8288.6399999999976"/>
  </r>
  <r>
    <s v="ORD00154"/>
    <x v="114"/>
    <s v="CUST0046"/>
    <s v="PROD0048"/>
    <n v="5"/>
    <x v="1"/>
    <n v="15"/>
    <s v="Customer_46"/>
    <x v="1"/>
    <n v="21"/>
    <x v="5"/>
    <x v="5"/>
    <d v="2024-04-23T00:00:00"/>
    <x v="2"/>
    <s v="Product_48"/>
    <x v="2"/>
    <x v="0"/>
    <n v="4225.4799999999996"/>
    <n v="6100.15"/>
    <n v="279"/>
    <n v="12889.5"/>
    <n v="2234.7600000000002"/>
    <n v="10654.74"/>
    <n v="3970.79"/>
    <s v="West"/>
    <n v="30500.75"/>
    <n v="9373.35"/>
  </r>
  <r>
    <s v="ORD00102"/>
    <x v="115"/>
    <s v="CUST0148"/>
    <s v="PROD0009"/>
    <n v="1"/>
    <x v="1"/>
    <n v="2"/>
    <s v="Customer_148"/>
    <x v="0"/>
    <n v="41"/>
    <x v="7"/>
    <x v="2"/>
    <d v="2022-10-27T00:00:00"/>
    <x v="1"/>
    <s v="Product_9"/>
    <x v="2"/>
    <x v="3"/>
    <n v="1267.6600000000001"/>
    <n v="1481.07"/>
    <n v="99"/>
    <n v="4283.8599999999997"/>
    <n v="551.24"/>
    <n v="3732.62"/>
    <n v="523.27"/>
    <s v="East"/>
    <n v="1481.07"/>
    <n v="213.40999999999985"/>
  </r>
  <r>
    <s v="ORD00178"/>
    <x v="116"/>
    <s v="CUST0046"/>
    <s v="PROD0013"/>
    <n v="6"/>
    <x v="0"/>
    <n v="10"/>
    <s v="Customer_46"/>
    <x v="1"/>
    <n v="21"/>
    <x v="5"/>
    <x v="5"/>
    <d v="2024-04-23T00:00:00"/>
    <x v="2"/>
    <s v="Product_13"/>
    <x v="1"/>
    <x v="3"/>
    <n v="3957.37"/>
    <n v="5045.3500000000004"/>
    <n v="227"/>
    <n v="13966.53"/>
    <n v="438.57"/>
    <n v="13527.96"/>
    <n v="3828.56"/>
    <s v="North"/>
    <n v="30272.100000000002"/>
    <n v="6527.8800000000028"/>
  </r>
  <r>
    <s v="ORD00103"/>
    <x v="86"/>
    <s v="CUST0047"/>
    <s v="PROD0014"/>
    <n v="5"/>
    <x v="0"/>
    <n v="16"/>
    <s v="Customer_47"/>
    <x v="0"/>
    <n v="41"/>
    <x v="2"/>
    <x v="4"/>
    <d v="2024-03-28T00:00:00"/>
    <x v="1"/>
    <s v="Product_14"/>
    <x v="1"/>
    <x v="3"/>
    <n v="4301.32"/>
    <n v="6870.07"/>
    <n v="243"/>
    <n v="10437.67"/>
    <n v="998.15"/>
    <n v="9439.52"/>
    <n v="3937.06"/>
    <s v="West"/>
    <n v="34350.35"/>
    <n v="12843.75"/>
  </r>
  <r>
    <s v="ORD00104"/>
    <x v="29"/>
    <s v="CUST0192"/>
    <s v="PROD0044"/>
    <n v="4"/>
    <x v="2"/>
    <n v="2"/>
    <s v="Customer_192"/>
    <x v="0"/>
    <n v="44"/>
    <x v="3"/>
    <x v="2"/>
    <d v="2022-08-19T00:00:00"/>
    <x v="2"/>
    <s v="Product_44"/>
    <x v="3"/>
    <x v="2"/>
    <n v="1622.17"/>
    <n v="1993.72"/>
    <n v="262"/>
    <n v="13026.09"/>
    <n v="1345.11"/>
    <n v="11680.98"/>
    <n v="4367.2700000000004"/>
    <s v="South"/>
    <n v="7974.88"/>
    <n v="1486.1999999999998"/>
  </r>
  <r>
    <s v="ORD00105"/>
    <x v="47"/>
    <s v="CUST0056"/>
    <s v="PROD0015"/>
    <n v="5"/>
    <x v="2"/>
    <n v="4"/>
    <s v="Customer_56"/>
    <x v="0"/>
    <n v="30"/>
    <x v="4"/>
    <x v="2"/>
    <d v="2024-05-01T00:00:00"/>
    <x v="0"/>
    <s v="Product_15"/>
    <x v="3"/>
    <x v="3"/>
    <n v="4133.24"/>
    <n v="6302.13"/>
    <n v="299"/>
    <n v="9017.59"/>
    <n v="1397.4"/>
    <n v="7620.19"/>
    <n v="3725.85"/>
    <s v="West"/>
    <n v="31510.65"/>
    <n v="10844.45"/>
  </r>
  <r>
    <s v="ORD00107"/>
    <x v="117"/>
    <s v="CUST0063"/>
    <s v="PROD0055"/>
    <n v="5"/>
    <x v="1"/>
    <n v="20"/>
    <s v="Customer_63"/>
    <x v="0"/>
    <n v="45"/>
    <x v="5"/>
    <x v="2"/>
    <d v="2022-03-19T00:00:00"/>
    <x v="0"/>
    <s v="Product_55"/>
    <x v="3"/>
    <x v="3"/>
    <n v="4836.3999999999996"/>
    <n v="7004.05"/>
    <n v="98"/>
    <n v="5404.13"/>
    <n v="1083.51"/>
    <n v="4320.62"/>
    <n v="3925.09"/>
    <s v="North"/>
    <n v="35020.25"/>
    <n v="10838.250000000004"/>
  </r>
  <r>
    <s v="ORD00108"/>
    <x v="118"/>
    <s v="CUST0092"/>
    <s v="PROD0019"/>
    <n v="2"/>
    <x v="3"/>
    <n v="11"/>
    <s v="Customer_92"/>
    <x v="1"/>
    <n v="34"/>
    <x v="6"/>
    <x v="1"/>
    <d v="2025-02-10T00:00:00"/>
    <x v="1"/>
    <s v="Product_19"/>
    <x v="1"/>
    <x v="2"/>
    <n v="1137.26"/>
    <n v="1649.58"/>
    <n v="243"/>
    <n v="14580.24"/>
    <n v="1773.45"/>
    <n v="12806.79"/>
    <n v="1343.87"/>
    <s v="South"/>
    <n v="3299.16"/>
    <n v="1024.6399999999999"/>
  </r>
  <r>
    <s v="ORD00109"/>
    <x v="119"/>
    <s v="CUST0191"/>
    <s v="PROD0044"/>
    <n v="3"/>
    <x v="3"/>
    <n v="4"/>
    <s v="Customer_191"/>
    <x v="1"/>
    <n v="41"/>
    <x v="3"/>
    <x v="2"/>
    <d v="2023-09-23T00:00:00"/>
    <x v="1"/>
    <s v="Product_44"/>
    <x v="3"/>
    <x v="2"/>
    <n v="1622.17"/>
    <n v="1993.72"/>
    <n v="262"/>
    <n v="18715.36"/>
    <n v="241.39"/>
    <n v="18473.97"/>
    <n v="3089.57"/>
    <s v="North"/>
    <n v="5981.16"/>
    <n v="1114.6499999999999"/>
  </r>
  <r>
    <s v="ORD00111"/>
    <x v="120"/>
    <s v="CUST0077"/>
    <s v="PROD0058"/>
    <n v="3"/>
    <x v="1"/>
    <n v="15"/>
    <s v="Customer_77"/>
    <x v="1"/>
    <n v="42"/>
    <x v="4"/>
    <x v="3"/>
    <d v="2024-08-05T00:00:00"/>
    <x v="0"/>
    <s v="Product_58"/>
    <x v="1"/>
    <x v="1"/>
    <n v="1480.33"/>
    <n v="1709.3"/>
    <n v="229"/>
    <n v="13612.18"/>
    <n v="2177.0700000000002"/>
    <n v="11435.11"/>
    <n v="803.5"/>
    <s v="West"/>
    <n v="5127.8999999999996"/>
    <n v="686.91000000000008"/>
  </r>
  <r>
    <s v="ORD00220"/>
    <x v="121"/>
    <s v="CUST0085"/>
    <s v="PROD0056"/>
    <n v="1"/>
    <x v="0"/>
    <n v="2"/>
    <s v="Customer_85"/>
    <x v="1"/>
    <n v="56"/>
    <x v="1"/>
    <x v="2"/>
    <d v="2023-06-26T00:00:00"/>
    <x v="2"/>
    <s v="Product_56"/>
    <x v="3"/>
    <x v="1"/>
    <n v="929.24"/>
    <n v="1350.29"/>
    <n v="22"/>
    <n v="6535.28"/>
    <n v="1273.07"/>
    <n v="5262.21"/>
    <n v="4149.1499999999996"/>
    <s v="South"/>
    <n v="1350.29"/>
    <n v="421.04999999999995"/>
  </r>
  <r>
    <s v="ORD00112"/>
    <x v="122"/>
    <s v="CUST0072"/>
    <s v="PROD0003"/>
    <n v="5"/>
    <x v="1"/>
    <n v="1"/>
    <s v="Customer_72"/>
    <x v="1"/>
    <n v="46"/>
    <x v="3"/>
    <x v="1"/>
    <d v="2023-02-04T00:00:00"/>
    <x v="2"/>
    <s v="Product_3"/>
    <x v="3"/>
    <x v="0"/>
    <n v="952.01"/>
    <n v="1107.5"/>
    <n v="162"/>
    <n v="4996.9799999999996"/>
    <n v="1058.67"/>
    <n v="3938.31"/>
    <n v="487.01"/>
    <s v="North"/>
    <n v="5537.5"/>
    <n v="777.45"/>
  </r>
  <r>
    <s v="ORD00113"/>
    <x v="123"/>
    <s v="CUST0134"/>
    <s v="PROD0025"/>
    <n v="2"/>
    <x v="0"/>
    <n v="19"/>
    <s v="Customer_134"/>
    <x v="1"/>
    <n v="30"/>
    <x v="5"/>
    <x v="5"/>
    <d v="2022-10-01T00:00:00"/>
    <x v="2"/>
    <s v="Product_25"/>
    <x v="2"/>
    <x v="1"/>
    <n v="4398.43"/>
    <n v="6683.28"/>
    <n v="152"/>
    <n v="900.3"/>
    <n v="120.85"/>
    <n v="779.45"/>
    <n v="4781.54"/>
    <s v="East"/>
    <n v="13366.56"/>
    <n v="4569.6999999999989"/>
  </r>
  <r>
    <s v="ORD00185"/>
    <x v="27"/>
    <s v="CUST0054"/>
    <s v="PROD0057"/>
    <n v="2"/>
    <x v="1"/>
    <n v="3"/>
    <s v="Customer_54"/>
    <x v="0"/>
    <n v="35"/>
    <x v="0"/>
    <x v="3"/>
    <d v="2022-09-08T00:00:00"/>
    <x v="0"/>
    <s v="Product_57"/>
    <x v="0"/>
    <x v="1"/>
    <n v="4764.59"/>
    <n v="5703.68"/>
    <n v="87"/>
    <n v="12258.11"/>
    <n v="2946.12"/>
    <n v="9311.99"/>
    <n v="2342.7199999999998"/>
    <s v="East"/>
    <n v="11407.36"/>
    <n v="1878.1800000000003"/>
  </r>
  <r>
    <s v="ORD00188"/>
    <x v="124"/>
    <s v="CUST0055"/>
    <s v="PROD0032"/>
    <n v="4"/>
    <x v="1"/>
    <n v="1"/>
    <s v="Customer_55"/>
    <x v="0"/>
    <n v="42"/>
    <x v="7"/>
    <x v="3"/>
    <d v="2022-11-15T00:00:00"/>
    <x v="2"/>
    <s v="Product_32"/>
    <x v="2"/>
    <x v="3"/>
    <n v="1733.92"/>
    <n v="2099.92"/>
    <n v="175"/>
    <n v="11980.4"/>
    <n v="1907.49"/>
    <n v="10072.91"/>
    <n v="3284.7"/>
    <s v="South"/>
    <n v="8399.68"/>
    <n v="1464"/>
  </r>
  <r>
    <s v="ORD00213"/>
    <x v="53"/>
    <s v="CUST0055"/>
    <s v="PROD0004"/>
    <n v="2"/>
    <x v="1"/>
    <n v="12"/>
    <s v="Customer_55"/>
    <x v="0"/>
    <n v="42"/>
    <x v="7"/>
    <x v="3"/>
    <d v="2022-11-15T00:00:00"/>
    <x v="2"/>
    <s v="Product_4"/>
    <x v="0"/>
    <x v="0"/>
    <n v="4318.8599999999997"/>
    <n v="4880.6400000000003"/>
    <n v="149"/>
    <n v="5449.31"/>
    <n v="990.91"/>
    <n v="4458.3999999999996"/>
    <n v="4798.16"/>
    <s v="North"/>
    <n v="9761.2800000000007"/>
    <n v="1123.5600000000013"/>
  </r>
  <r>
    <s v="ORD00186"/>
    <x v="125"/>
    <s v="CUST0103"/>
    <s v="PROD0020"/>
    <n v="3"/>
    <x v="0"/>
    <n v="15"/>
    <s v="Customer_103"/>
    <x v="0"/>
    <n v="23"/>
    <x v="6"/>
    <x v="4"/>
    <d v="2024-10-30T00:00:00"/>
    <x v="0"/>
    <s v="Product_20"/>
    <x v="1"/>
    <x v="2"/>
    <n v="2649.82"/>
    <n v="3522.16"/>
    <n v="205"/>
    <n v="2442.87"/>
    <n v="457.23"/>
    <n v="1985.64"/>
    <n v="2035.99"/>
    <s v="North"/>
    <n v="10566.48"/>
    <n v="2617.0199999999991"/>
  </r>
  <r>
    <s v="ORD00118"/>
    <x v="37"/>
    <s v="CUST0209"/>
    <s v="PROD0042"/>
    <n v="4"/>
    <x v="0"/>
    <n v="14"/>
    <s v="Customer_209"/>
    <x v="0"/>
    <n v="37"/>
    <x v="1"/>
    <x v="4"/>
    <d v="2024-10-31T00:00:00"/>
    <x v="1"/>
    <s v="Product_42"/>
    <x v="1"/>
    <x v="3"/>
    <n v="1858.72"/>
    <n v="2175.88"/>
    <n v="272"/>
    <n v="11825.65"/>
    <n v="2475.67"/>
    <n v="9349.98"/>
    <n v="4267.04"/>
    <s v="North"/>
    <n v="8703.52"/>
    <n v="1268.6400000000003"/>
  </r>
  <r>
    <s v="ORD00126"/>
    <x v="126"/>
    <s v="CUST0057"/>
    <s v="PROD0017"/>
    <n v="1"/>
    <x v="3"/>
    <n v="12"/>
    <s v="Customer_57"/>
    <x v="1"/>
    <n v="31"/>
    <x v="4"/>
    <x v="5"/>
    <d v="2024-04-07T00:00:00"/>
    <x v="1"/>
    <s v="Product_17"/>
    <x v="0"/>
    <x v="1"/>
    <n v="3612.18"/>
    <n v="3996.91"/>
    <n v="92"/>
    <n v="14574.16"/>
    <n v="3179.77"/>
    <n v="11394.39"/>
    <n v="3464.82"/>
    <s v="East"/>
    <n v="3996.91"/>
    <n v="384.73"/>
  </r>
  <r>
    <s v="ORD00120"/>
    <x v="6"/>
    <s v="CUST0113"/>
    <s v="PROD0046"/>
    <n v="3"/>
    <x v="2"/>
    <n v="9"/>
    <s v="Customer_113"/>
    <x v="1"/>
    <n v="56"/>
    <x v="5"/>
    <x v="3"/>
    <d v="2023-09-17T00:00:00"/>
    <x v="2"/>
    <s v="Product_46"/>
    <x v="2"/>
    <x v="1"/>
    <n v="2643.84"/>
    <n v="3790.58"/>
    <n v="63"/>
    <n v="15304.96"/>
    <n v="1603.52"/>
    <n v="13701.44"/>
    <n v="786.41"/>
    <s v="South"/>
    <n v="11371.74"/>
    <n v="3440.2199999999993"/>
  </r>
  <r>
    <s v="ORD00146"/>
    <x v="127"/>
    <s v="CUST0057"/>
    <s v="PROD0051"/>
    <n v="2"/>
    <x v="0"/>
    <n v="20"/>
    <s v="Customer_57"/>
    <x v="1"/>
    <n v="31"/>
    <x v="4"/>
    <x v="5"/>
    <d v="2024-04-07T00:00:00"/>
    <x v="1"/>
    <s v="Product_51"/>
    <x v="0"/>
    <x v="1"/>
    <n v="1607.82"/>
    <n v="2197.14"/>
    <n v="27"/>
    <n v="5167.12"/>
    <n v="1187.77"/>
    <n v="3979.35"/>
    <n v="4614.33"/>
    <s v="West"/>
    <n v="4394.28"/>
    <n v="1178.6399999999999"/>
  </r>
  <r>
    <s v="ORD00121"/>
    <x v="128"/>
    <s v="CUST0157"/>
    <s v="PROD0014"/>
    <n v="4"/>
    <x v="1"/>
    <n v="20"/>
    <s v="Customer_157"/>
    <x v="0"/>
    <n v="37"/>
    <x v="5"/>
    <x v="0"/>
    <d v="2024-05-07T00:00:00"/>
    <x v="0"/>
    <s v="Product_14"/>
    <x v="1"/>
    <x v="3"/>
    <n v="4301.32"/>
    <n v="6870.07"/>
    <n v="243"/>
    <n v="17719.54"/>
    <n v="3249.14"/>
    <n v="14470.4"/>
    <n v="2479.7399999999998"/>
    <s v="East"/>
    <n v="27480.28"/>
    <n v="10275"/>
  </r>
  <r>
    <s v="ORD00180"/>
    <x v="28"/>
    <s v="CUST0057"/>
    <s v="PROD0001"/>
    <n v="1"/>
    <x v="2"/>
    <n v="10"/>
    <s v="Customer_57"/>
    <x v="1"/>
    <n v="31"/>
    <x v="4"/>
    <x v="5"/>
    <d v="2024-04-07T00:00:00"/>
    <x v="1"/>
    <s v="Product_1"/>
    <x v="2"/>
    <x v="2"/>
    <n v="4426.51"/>
    <n v="5123.7299999999996"/>
    <n v="298"/>
    <n v="19111.810000000001"/>
    <n v="4207.74"/>
    <n v="14904.07"/>
    <n v="2166.54"/>
    <s v="South"/>
    <n v="5123.7299999999996"/>
    <n v="697.21999999999935"/>
  </r>
  <r>
    <s v="ORD00122"/>
    <x v="129"/>
    <s v="CUST0083"/>
    <s v="PROD0009"/>
    <n v="6"/>
    <x v="0"/>
    <n v="6"/>
    <s v="Customer_83"/>
    <x v="1"/>
    <n v="30"/>
    <x v="1"/>
    <x v="4"/>
    <d v="2022-11-06T00:00:00"/>
    <x v="1"/>
    <s v="Product_9"/>
    <x v="2"/>
    <x v="3"/>
    <n v="1267.6600000000001"/>
    <n v="1481.07"/>
    <n v="99"/>
    <n v="9792.5"/>
    <n v="1072.94"/>
    <n v="8719.56"/>
    <n v="4856.24"/>
    <s v="West"/>
    <n v="8886.42"/>
    <n v="1280.4599999999991"/>
  </r>
  <r>
    <s v="ORD00216"/>
    <x v="130"/>
    <s v="CUST0057"/>
    <s v="PROD0004"/>
    <n v="1"/>
    <x v="3"/>
    <n v="10"/>
    <s v="Customer_57"/>
    <x v="1"/>
    <n v="31"/>
    <x v="4"/>
    <x v="5"/>
    <d v="2024-04-07T00:00:00"/>
    <x v="1"/>
    <s v="Product_4"/>
    <x v="0"/>
    <x v="0"/>
    <n v="4318.8599999999997"/>
    <n v="4880.6400000000003"/>
    <n v="149"/>
    <n v="6924.27"/>
    <n v="1231.32"/>
    <n v="5692.95"/>
    <n v="1012.95"/>
    <s v="South"/>
    <n v="4880.6400000000003"/>
    <n v="561.78000000000065"/>
  </r>
  <r>
    <s v="ORD00123"/>
    <x v="131"/>
    <s v="CUST0167"/>
    <s v="PROD0022"/>
    <n v="6"/>
    <x v="3"/>
    <n v="21"/>
    <s v="Customer_167"/>
    <x v="1"/>
    <n v="46"/>
    <x v="6"/>
    <x v="1"/>
    <d v="2023-06-04T00:00:00"/>
    <x v="2"/>
    <s v="Product_22"/>
    <x v="3"/>
    <x v="1"/>
    <n v="2704.31"/>
    <n v="4105"/>
    <n v="48"/>
    <n v="6546.89"/>
    <n v="970.53"/>
    <n v="5576.36"/>
    <n v="4000.2"/>
    <s v="South"/>
    <n v="24630"/>
    <n v="8404.14"/>
  </r>
  <r>
    <s v="ORD00172"/>
    <x v="132"/>
    <s v="CUST0117"/>
    <s v="PROD0027"/>
    <n v="1"/>
    <x v="3"/>
    <n v="3"/>
    <s v="Customer_117"/>
    <x v="1"/>
    <n v="28"/>
    <x v="1"/>
    <x v="1"/>
    <d v="2023-03-12T00:00:00"/>
    <x v="0"/>
    <s v="Product_27"/>
    <x v="0"/>
    <x v="0"/>
    <n v="2340.46"/>
    <n v="2600.46"/>
    <n v="245"/>
    <n v="14905.85"/>
    <n v="1195.1199999999999"/>
    <n v="13710.73"/>
    <n v="4258.3100000000004"/>
    <s v="West"/>
    <n v="2600.46"/>
    <n v="260"/>
  </r>
  <r>
    <s v="ORD00125"/>
    <x v="133"/>
    <s v="CUST0134"/>
    <s v="PROD0030"/>
    <n v="4"/>
    <x v="2"/>
    <n v="18"/>
    <s v="Customer_134"/>
    <x v="1"/>
    <n v="30"/>
    <x v="5"/>
    <x v="5"/>
    <d v="2022-10-01T00:00:00"/>
    <x v="2"/>
    <s v="Product_30"/>
    <x v="1"/>
    <x v="3"/>
    <n v="3959.29"/>
    <n v="5340.73"/>
    <n v="91"/>
    <n v="7227.94"/>
    <n v="1337.32"/>
    <n v="5890.62"/>
    <n v="1475.02"/>
    <s v="North"/>
    <n v="21362.92"/>
    <n v="5525.7599999999984"/>
  </r>
  <r>
    <s v="ORD00127"/>
    <x v="134"/>
    <s v="CUST0219"/>
    <s v="PROD0028"/>
    <n v="3"/>
    <x v="3"/>
    <n v="12"/>
    <s v="Customer_219"/>
    <x v="0"/>
    <n v="24"/>
    <x v="3"/>
    <x v="0"/>
    <d v="2022-11-20T00:00:00"/>
    <x v="0"/>
    <s v="Product_28"/>
    <x v="1"/>
    <x v="3"/>
    <n v="2412.25"/>
    <n v="3672.51"/>
    <n v="100"/>
    <n v="11565.05"/>
    <n v="2455.44"/>
    <n v="9109.61"/>
    <n v="4976.93"/>
    <s v="East"/>
    <n v="11017.53"/>
    <n v="3780.7800000000007"/>
  </r>
  <r>
    <s v="ORD00162"/>
    <x v="135"/>
    <s v="CUST0060"/>
    <s v="PROD0034"/>
    <n v="3"/>
    <x v="1"/>
    <n v="2"/>
    <s v="Customer_60"/>
    <x v="0"/>
    <n v="30"/>
    <x v="0"/>
    <x v="5"/>
    <d v="2023-12-21T00:00:00"/>
    <x v="2"/>
    <s v="Product_34"/>
    <x v="0"/>
    <x v="2"/>
    <n v="3479.48"/>
    <n v="5364.57"/>
    <n v="41"/>
    <n v="19086.25"/>
    <n v="2406.62"/>
    <n v="16679.63"/>
    <n v="3395.89"/>
    <s v="South"/>
    <n v="16093.71"/>
    <n v="5655.2699999999986"/>
  </r>
  <r>
    <s v="ORD00128"/>
    <x v="136"/>
    <s v="CUST0152"/>
    <s v="PROD0026"/>
    <n v="6"/>
    <x v="0"/>
    <n v="23"/>
    <s v="Customer_152"/>
    <x v="1"/>
    <n v="50"/>
    <x v="6"/>
    <x v="3"/>
    <d v="2023-01-27T00:00:00"/>
    <x v="1"/>
    <s v="Product_26"/>
    <x v="0"/>
    <x v="1"/>
    <n v="1612.7"/>
    <n v="1932.63"/>
    <n v="278"/>
    <n v="6393.71"/>
    <n v="329.4"/>
    <n v="6064.31"/>
    <n v="3546.2"/>
    <s v="South"/>
    <n v="11595.78"/>
    <n v="1919.5800000000004"/>
  </r>
  <r>
    <s v="ORD00129"/>
    <x v="137"/>
    <s v="CUST0073"/>
    <s v="PROD0041"/>
    <n v="6"/>
    <x v="3"/>
    <n v="14"/>
    <s v="Customer_73"/>
    <x v="1"/>
    <n v="26"/>
    <x v="1"/>
    <x v="5"/>
    <d v="2024-05-21T00:00:00"/>
    <x v="2"/>
    <s v="Product_41"/>
    <x v="2"/>
    <x v="1"/>
    <n v="3358.26"/>
    <n v="4345.1099999999997"/>
    <n v="179"/>
    <n v="18395.93"/>
    <n v="2898.84"/>
    <n v="15497.09"/>
    <n v="1511.23"/>
    <s v="West"/>
    <n v="26070.659999999996"/>
    <n v="5921.0999999999967"/>
  </r>
  <r>
    <s v="ORD00130"/>
    <x v="138"/>
    <s v="CUST0084"/>
    <s v="PROD0047"/>
    <n v="1"/>
    <x v="0"/>
    <n v="19"/>
    <s v="Customer_84"/>
    <x v="1"/>
    <n v="33"/>
    <x v="0"/>
    <x v="5"/>
    <d v="2024-09-11T00:00:00"/>
    <x v="2"/>
    <s v="Product_47"/>
    <x v="3"/>
    <x v="0"/>
    <n v="1358.27"/>
    <n v="1886.86"/>
    <n v="153"/>
    <n v="11762.14"/>
    <n v="2458.3000000000002"/>
    <n v="9303.84"/>
    <n v="3167.26"/>
    <s v="East"/>
    <n v="1886.86"/>
    <n v="528.58999999999992"/>
  </r>
  <r>
    <s v="ORD00133"/>
    <x v="139"/>
    <s v="CUST0198"/>
    <s v="PROD0047"/>
    <n v="4"/>
    <x v="1"/>
    <n v="20"/>
    <s v="Customer_198"/>
    <x v="1"/>
    <n v="58"/>
    <x v="6"/>
    <x v="5"/>
    <d v="2025-02-14T00:00:00"/>
    <x v="1"/>
    <s v="Product_47"/>
    <x v="3"/>
    <x v="0"/>
    <n v="1358.27"/>
    <n v="1886.86"/>
    <n v="153"/>
    <n v="3528.41"/>
    <n v="215.86"/>
    <n v="3312.55"/>
    <n v="1496.12"/>
    <s v="West"/>
    <n v="7547.44"/>
    <n v="2114.3599999999997"/>
  </r>
  <r>
    <s v="ORD00142"/>
    <x v="140"/>
    <s v="CUST0134"/>
    <s v="PROD0044"/>
    <n v="6"/>
    <x v="0"/>
    <n v="10"/>
    <s v="Customer_134"/>
    <x v="1"/>
    <n v="30"/>
    <x v="5"/>
    <x v="5"/>
    <d v="2022-10-01T00:00:00"/>
    <x v="2"/>
    <s v="Product_44"/>
    <x v="3"/>
    <x v="2"/>
    <n v="1622.17"/>
    <n v="1993.72"/>
    <n v="262"/>
    <n v="3611.19"/>
    <n v="441.08"/>
    <n v="3170.11"/>
    <n v="4927.21"/>
    <s v="West"/>
    <n v="11962.32"/>
    <n v="2229.2999999999997"/>
  </r>
  <r>
    <s v="ORD00135"/>
    <x v="93"/>
    <s v="CUST0083"/>
    <s v="PROD0054"/>
    <n v="3"/>
    <x v="1"/>
    <n v="5"/>
    <s v="Customer_83"/>
    <x v="1"/>
    <n v="30"/>
    <x v="1"/>
    <x v="4"/>
    <d v="2022-11-06T00:00:00"/>
    <x v="1"/>
    <s v="Product_54"/>
    <x v="1"/>
    <x v="0"/>
    <n v="4727.87"/>
    <n v="6561"/>
    <n v="290"/>
    <n v="17991.060000000001"/>
    <n v="1786.87"/>
    <n v="16204.19"/>
    <n v="1308.69"/>
    <s v="North"/>
    <n v="19683"/>
    <n v="5499.39"/>
  </r>
  <r>
    <s v="ORD00136"/>
    <x v="141"/>
    <s v="CUST0105"/>
    <s v="PROD0033"/>
    <n v="2"/>
    <x v="2"/>
    <n v="5"/>
    <s v="Customer_105"/>
    <x v="0"/>
    <n v="46"/>
    <x v="0"/>
    <x v="2"/>
    <d v="2024-04-27T00:00:00"/>
    <x v="1"/>
    <s v="Product_33"/>
    <x v="2"/>
    <x v="1"/>
    <n v="828.79"/>
    <n v="1227.1300000000001"/>
    <n v="228"/>
    <n v="15336.89"/>
    <n v="648.27"/>
    <n v="14688.62"/>
    <n v="1909.98"/>
    <s v="North"/>
    <n v="2454.2600000000002"/>
    <n v="796.68000000000029"/>
  </r>
  <r>
    <s v="ORD00137"/>
    <x v="142"/>
    <s v="CUST0202"/>
    <s v="PROD0026"/>
    <n v="5"/>
    <x v="1"/>
    <n v="21"/>
    <s v="Customer_202"/>
    <x v="1"/>
    <n v="30"/>
    <x v="1"/>
    <x v="0"/>
    <d v="2024-11-12T00:00:00"/>
    <x v="2"/>
    <s v="Product_26"/>
    <x v="0"/>
    <x v="1"/>
    <n v="1612.7"/>
    <n v="1932.63"/>
    <n v="278"/>
    <n v="12839.01"/>
    <n v="419.68"/>
    <n v="12419.33"/>
    <n v="4141.5600000000004"/>
    <s v="South"/>
    <n v="9663.1500000000015"/>
    <n v="1599.6500000000003"/>
  </r>
  <r>
    <s v="ORD00139"/>
    <x v="52"/>
    <s v="CUST0218"/>
    <s v="PROD0010"/>
    <n v="6"/>
    <x v="3"/>
    <n v="19"/>
    <s v="Customer_218"/>
    <x v="0"/>
    <n v="51"/>
    <x v="7"/>
    <x v="1"/>
    <d v="2023-05-10T00:00:00"/>
    <x v="0"/>
    <s v="Product_10"/>
    <x v="3"/>
    <x v="2"/>
    <n v="830.87"/>
    <n v="1283.0999999999999"/>
    <n v="46"/>
    <n v="18259.490000000002"/>
    <n v="2225.6799999999998"/>
    <n v="16033.81"/>
    <n v="428.99"/>
    <s v="North"/>
    <n v="7698.5999999999995"/>
    <n v="2713.3799999999992"/>
  </r>
  <r>
    <s v="ORD00217"/>
    <x v="143"/>
    <s v="CUST0066"/>
    <s v="PROD0005"/>
    <n v="3"/>
    <x v="1"/>
    <n v="17"/>
    <s v="Customer_66"/>
    <x v="1"/>
    <n v="45"/>
    <x v="5"/>
    <x v="2"/>
    <d v="2023-04-30T00:00:00"/>
    <x v="0"/>
    <s v="Product_5"/>
    <x v="1"/>
    <x v="1"/>
    <n v="3023.88"/>
    <n v="3903.42"/>
    <n v="217"/>
    <n v="4442.88"/>
    <n v="283.35000000000002"/>
    <n v="4159.53"/>
    <n v="2404.12"/>
    <s v="South"/>
    <n v="11710.26"/>
    <n v="2638.62"/>
  </r>
  <r>
    <s v="ORD00140"/>
    <x v="127"/>
    <s v="CUST0093"/>
    <s v="PROD0042"/>
    <n v="2"/>
    <x v="0"/>
    <n v="18"/>
    <s v="Customer_93"/>
    <x v="1"/>
    <n v="26"/>
    <x v="7"/>
    <x v="0"/>
    <d v="2022-10-14T00:00:00"/>
    <x v="2"/>
    <s v="Product_42"/>
    <x v="1"/>
    <x v="3"/>
    <n v="1858.72"/>
    <n v="2175.88"/>
    <n v="272"/>
    <n v="5005.34"/>
    <n v="231.19"/>
    <n v="4774.1499999999996"/>
    <n v="180.24"/>
    <s v="West"/>
    <n v="4351.76"/>
    <n v="634.32000000000016"/>
  </r>
  <r>
    <s v="ORD00141"/>
    <x v="144"/>
    <s v="CUST0127"/>
    <s v="PROD0039"/>
    <n v="5"/>
    <x v="0"/>
    <n v="21"/>
    <s v="Customer_127"/>
    <x v="0"/>
    <n v="46"/>
    <x v="7"/>
    <x v="5"/>
    <d v="2023-11-03T00:00:00"/>
    <x v="1"/>
    <s v="Product_39"/>
    <x v="0"/>
    <x v="2"/>
    <n v="3696.72"/>
    <n v="4397.13"/>
    <n v="92"/>
    <n v="7972.15"/>
    <n v="1165.72"/>
    <n v="6806.43"/>
    <n v="2534.9"/>
    <s v="South"/>
    <n v="21985.65"/>
    <n v="3502.0500000000015"/>
  </r>
  <r>
    <s v="ORD00143"/>
    <x v="145"/>
    <s v="CUST0140"/>
    <s v="PROD0020"/>
    <n v="5"/>
    <x v="3"/>
    <n v="10"/>
    <s v="Customer_140"/>
    <x v="1"/>
    <n v="26"/>
    <x v="2"/>
    <x v="3"/>
    <d v="2023-12-12T00:00:00"/>
    <x v="0"/>
    <s v="Product_20"/>
    <x v="1"/>
    <x v="2"/>
    <n v="2649.82"/>
    <n v="3522.16"/>
    <n v="205"/>
    <n v="9069.43"/>
    <n v="1163.5999999999999"/>
    <n v="7905.83"/>
    <n v="2599.39"/>
    <s v="South"/>
    <n v="17610.8"/>
    <n v="4361.6999999999989"/>
  </r>
  <r>
    <s v="ORD00144"/>
    <x v="65"/>
    <s v="CUST0073"/>
    <s v="PROD0032"/>
    <n v="3"/>
    <x v="2"/>
    <n v="16"/>
    <s v="Customer_73"/>
    <x v="1"/>
    <n v="26"/>
    <x v="1"/>
    <x v="5"/>
    <d v="2024-05-21T00:00:00"/>
    <x v="2"/>
    <s v="Product_32"/>
    <x v="2"/>
    <x v="3"/>
    <n v="1733.92"/>
    <n v="2099.92"/>
    <n v="175"/>
    <n v="6967.2"/>
    <n v="148.28"/>
    <n v="6818.92"/>
    <n v="274.8"/>
    <s v="North"/>
    <n v="6299.76"/>
    <n v="1098"/>
  </r>
  <r>
    <s v="ORD00148"/>
    <x v="146"/>
    <s v="CUST0220"/>
    <s v="PROD0025"/>
    <n v="3"/>
    <x v="2"/>
    <n v="18"/>
    <s v="Customer_220"/>
    <x v="1"/>
    <n v="39"/>
    <x v="3"/>
    <x v="1"/>
    <d v="2024-04-20T00:00:00"/>
    <x v="1"/>
    <s v="Product_25"/>
    <x v="2"/>
    <x v="1"/>
    <n v="4398.43"/>
    <n v="6683.28"/>
    <n v="152"/>
    <n v="14660.91"/>
    <n v="1985.3"/>
    <n v="12675.61"/>
    <n v="3539.82"/>
    <s v="West"/>
    <n v="20049.84"/>
    <n v="6854.5499999999984"/>
  </r>
  <r>
    <s v="ORD00149"/>
    <x v="147"/>
    <s v="CUST0129"/>
    <s v="PROD0043"/>
    <n v="4"/>
    <x v="3"/>
    <n v="22"/>
    <s v="Customer_129"/>
    <x v="1"/>
    <n v="36"/>
    <x v="5"/>
    <x v="1"/>
    <d v="2023-09-26T00:00:00"/>
    <x v="2"/>
    <s v="Product_43"/>
    <x v="3"/>
    <x v="1"/>
    <n v="4570.75"/>
    <n v="5891.26"/>
    <n v="285"/>
    <n v="10629.91"/>
    <n v="1295.42"/>
    <n v="9334.49"/>
    <n v="1039.47"/>
    <s v="North"/>
    <n v="23565.040000000001"/>
    <n v="5282.0400000000009"/>
  </r>
  <r>
    <s v="ORD00150"/>
    <x v="148"/>
    <s v="CUST0107"/>
    <s v="PROD0033"/>
    <n v="6"/>
    <x v="2"/>
    <n v="4"/>
    <s v="Customer_107"/>
    <x v="0"/>
    <n v="27"/>
    <x v="1"/>
    <x v="1"/>
    <d v="2023-03-06T00:00:00"/>
    <x v="0"/>
    <s v="Product_33"/>
    <x v="2"/>
    <x v="1"/>
    <n v="828.79"/>
    <n v="1227.1300000000001"/>
    <n v="228"/>
    <n v="3169.1"/>
    <n v="755.21"/>
    <n v="2413.89"/>
    <n v="4425"/>
    <s v="West"/>
    <n v="7362.7800000000007"/>
    <n v="2390.0400000000009"/>
  </r>
  <r>
    <s v="ORD00181"/>
    <x v="149"/>
    <s v="CUST0214"/>
    <s v="PROD0038"/>
    <n v="2"/>
    <x v="0"/>
    <n v="23"/>
    <s v="Customer_214"/>
    <x v="1"/>
    <n v="22"/>
    <x v="0"/>
    <x v="4"/>
    <d v="2022-04-10T00:00:00"/>
    <x v="1"/>
    <s v="Product_38"/>
    <x v="3"/>
    <x v="1"/>
    <n v="2369.11"/>
    <n v="2775.74"/>
    <n v="21"/>
    <n v="10523.37"/>
    <n v="1450.24"/>
    <n v="9073.1299999999992"/>
    <n v="3718.21"/>
    <s v="East"/>
    <n v="5551.48"/>
    <n v="813.25999999999931"/>
  </r>
  <r>
    <s v="ORD00151"/>
    <x v="33"/>
    <s v="CUST0179"/>
    <s v="PROD0020"/>
    <n v="2"/>
    <x v="0"/>
    <n v="7"/>
    <s v="Customer_179"/>
    <x v="1"/>
    <n v="44"/>
    <x v="6"/>
    <x v="4"/>
    <d v="2024-03-15T00:00:00"/>
    <x v="2"/>
    <s v="Product_20"/>
    <x v="1"/>
    <x v="2"/>
    <n v="2649.82"/>
    <n v="3522.16"/>
    <n v="205"/>
    <n v="648.02"/>
    <n v="116.86"/>
    <n v="531.16"/>
    <n v="830.87"/>
    <s v="South"/>
    <n v="7044.32"/>
    <n v="1744.6799999999994"/>
  </r>
  <r>
    <s v="ORD00158"/>
    <x v="131"/>
    <s v="CUST0075"/>
    <s v="PROD0039"/>
    <n v="6"/>
    <x v="1"/>
    <n v="0"/>
    <s v="Customer_75"/>
    <x v="1"/>
    <n v="55"/>
    <x v="5"/>
    <x v="3"/>
    <d v="2022-05-01T00:00:00"/>
    <x v="2"/>
    <s v="Product_39"/>
    <x v="0"/>
    <x v="2"/>
    <n v="3696.72"/>
    <n v="4397.13"/>
    <n v="92"/>
    <n v="9469.7000000000007"/>
    <n v="521.28"/>
    <n v="8948.42"/>
    <n v="2262.1799999999998"/>
    <s v="North"/>
    <n v="26382.78"/>
    <n v="4202.4600000000019"/>
  </r>
  <r>
    <s v="ORD00152"/>
    <x v="41"/>
    <s v="CUST0118"/>
    <s v="PROD0049"/>
    <n v="5"/>
    <x v="3"/>
    <n v="21"/>
    <s v="Customer_118"/>
    <x v="1"/>
    <n v="32"/>
    <x v="2"/>
    <x v="1"/>
    <d v="2024-08-08T00:00:00"/>
    <x v="1"/>
    <s v="Product_49"/>
    <x v="0"/>
    <x v="2"/>
    <n v="4793.34"/>
    <n v="7058.65"/>
    <n v="107"/>
    <n v="1700"/>
    <n v="115.39"/>
    <n v="1584.61"/>
    <n v="4886.4399999999996"/>
    <s v="North"/>
    <n v="35293.25"/>
    <n v="11326.549999999997"/>
  </r>
  <r>
    <s v="ORD00211"/>
    <x v="142"/>
    <s v="CUST0076"/>
    <s v="PROD0002"/>
    <n v="5"/>
    <x v="0"/>
    <n v="18"/>
    <s v="Customer_76"/>
    <x v="1"/>
    <n v="29"/>
    <x v="0"/>
    <x v="2"/>
    <d v="2022-06-28T00:00:00"/>
    <x v="2"/>
    <s v="Product_2"/>
    <x v="0"/>
    <x v="0"/>
    <n v="3231.26"/>
    <n v="4308.05"/>
    <n v="21"/>
    <n v="18063.11"/>
    <n v="251.96"/>
    <n v="17811.150000000001"/>
    <n v="1224.44"/>
    <s v="North"/>
    <n v="21540.25"/>
    <n v="5383.95"/>
  </r>
  <r>
    <s v="ORD00195"/>
    <x v="150"/>
    <s v="CUST0180"/>
    <s v="PROD0056"/>
    <n v="2"/>
    <x v="0"/>
    <n v="22"/>
    <s v="Customer_180"/>
    <x v="0"/>
    <n v="54"/>
    <x v="7"/>
    <x v="3"/>
    <d v="2024-02-15T00:00:00"/>
    <x v="2"/>
    <s v="Product_56"/>
    <x v="3"/>
    <x v="1"/>
    <n v="929.24"/>
    <n v="1350.29"/>
    <n v="22"/>
    <n v="10015.959999999999"/>
    <n v="1989.59"/>
    <n v="8026.37"/>
    <n v="458.46"/>
    <s v="North"/>
    <n v="2700.58"/>
    <n v="842.09999999999991"/>
  </r>
  <r>
    <s v="ORD00155"/>
    <x v="151"/>
    <s v="CUST0150"/>
    <s v="PROD0032"/>
    <n v="5"/>
    <x v="2"/>
    <n v="22"/>
    <s v="Customer_150"/>
    <x v="1"/>
    <n v="47"/>
    <x v="4"/>
    <x v="3"/>
    <d v="2022-12-06T00:00:00"/>
    <x v="1"/>
    <s v="Product_32"/>
    <x v="2"/>
    <x v="3"/>
    <n v="1733.92"/>
    <n v="2099.92"/>
    <n v="175"/>
    <n v="744.09"/>
    <n v="98.87"/>
    <n v="645.22"/>
    <n v="4057.79"/>
    <s v="East"/>
    <n v="10499.6"/>
    <n v="1830"/>
  </r>
  <r>
    <s v="ORD00157"/>
    <x v="152"/>
    <s v="CUST0112"/>
    <s v="PROD0044"/>
    <n v="2"/>
    <x v="0"/>
    <n v="5"/>
    <s v="Customer_112"/>
    <x v="1"/>
    <n v="38"/>
    <x v="3"/>
    <x v="2"/>
    <d v="2022-04-09T00:00:00"/>
    <x v="0"/>
    <s v="Product_44"/>
    <x v="3"/>
    <x v="2"/>
    <n v="1622.17"/>
    <n v="1993.72"/>
    <n v="262"/>
    <n v="3666.78"/>
    <n v="655.87"/>
    <n v="3010.91"/>
    <n v="1157.1600000000001"/>
    <s v="West"/>
    <n v="3987.44"/>
    <n v="743.09999999999991"/>
  </r>
  <r>
    <s v="ORD00201"/>
    <x v="68"/>
    <s v="CUST0081"/>
    <s v="PROD0057"/>
    <n v="6"/>
    <x v="0"/>
    <n v="6"/>
    <s v="Customer_81"/>
    <x v="1"/>
    <n v="26"/>
    <x v="5"/>
    <x v="5"/>
    <d v="2023-11-09T00:00:00"/>
    <x v="0"/>
    <s v="Product_57"/>
    <x v="0"/>
    <x v="1"/>
    <n v="4764.59"/>
    <n v="5703.68"/>
    <n v="87"/>
    <n v="12726.88"/>
    <n v="1906.92"/>
    <n v="10819.96"/>
    <n v="3645.96"/>
    <s v="South"/>
    <n v="34222.080000000002"/>
    <n v="5634.5400000000009"/>
  </r>
  <r>
    <s v="ORD00161"/>
    <x v="153"/>
    <s v="CUST0168"/>
    <s v="PROD0023"/>
    <n v="3"/>
    <x v="1"/>
    <n v="20"/>
    <s v="Customer_168"/>
    <x v="1"/>
    <n v="37"/>
    <x v="2"/>
    <x v="0"/>
    <d v="2023-04-19T00:00:00"/>
    <x v="1"/>
    <s v="Product_23"/>
    <x v="3"/>
    <x v="3"/>
    <n v="1390.81"/>
    <n v="1874.61"/>
    <n v="262"/>
    <n v="2869.89"/>
    <n v="175.56"/>
    <n v="2694.33"/>
    <n v="4642.92"/>
    <s v="South"/>
    <n v="5623.83"/>
    <n v="1451.3999999999999"/>
  </r>
  <r>
    <s v="ORD00163"/>
    <x v="154"/>
    <s v="CUST0121"/>
    <s v="PROD0052"/>
    <n v="4"/>
    <x v="3"/>
    <n v="4"/>
    <s v="Customer_121"/>
    <x v="0"/>
    <n v="56"/>
    <x v="0"/>
    <x v="4"/>
    <d v="2022-07-07T00:00:00"/>
    <x v="1"/>
    <s v="Product_52"/>
    <x v="0"/>
    <x v="2"/>
    <n v="3470.49"/>
    <n v="5407.89"/>
    <n v="141"/>
    <n v="17287.689999999999"/>
    <n v="1667.65"/>
    <n v="15620.04"/>
    <n v="688.79"/>
    <s v="North"/>
    <n v="21631.56"/>
    <n v="7749.6000000000022"/>
  </r>
  <r>
    <s v="ORD00164"/>
    <x v="155"/>
    <s v="CUST0156"/>
    <s v="PROD0023"/>
    <n v="4"/>
    <x v="1"/>
    <n v="9"/>
    <s v="Customer_156"/>
    <x v="0"/>
    <n v="20"/>
    <x v="6"/>
    <x v="2"/>
    <d v="2025-04-11T00:00:00"/>
    <x v="1"/>
    <s v="Product_23"/>
    <x v="3"/>
    <x v="3"/>
    <n v="1390.81"/>
    <n v="1874.61"/>
    <n v="262"/>
    <n v="19861.650000000001"/>
    <n v="243.27"/>
    <n v="19618.38"/>
    <n v="2529.31"/>
    <s v="South"/>
    <n v="7498.44"/>
    <n v="1935.1999999999998"/>
  </r>
  <r>
    <s v="ORD00177"/>
    <x v="85"/>
    <s v="CUST0108"/>
    <s v="PROD0052"/>
    <n v="6"/>
    <x v="3"/>
    <n v="18"/>
    <s v="Customer_108"/>
    <x v="0"/>
    <n v="57"/>
    <x v="2"/>
    <x v="1"/>
    <d v="2024-09-10T00:00:00"/>
    <x v="0"/>
    <s v="Product_52"/>
    <x v="0"/>
    <x v="2"/>
    <n v="3470.49"/>
    <n v="5407.89"/>
    <n v="141"/>
    <n v="5126.92"/>
    <n v="1065.1500000000001"/>
    <n v="4061.77"/>
    <n v="1561.34"/>
    <s v="East"/>
    <n v="32447.340000000004"/>
    <n v="11624.400000000003"/>
  </r>
  <r>
    <s v="ORD00166"/>
    <x v="156"/>
    <s v="CUST0185"/>
    <s v="PROD0057"/>
    <n v="4"/>
    <x v="2"/>
    <n v="11"/>
    <s v="Customer_185"/>
    <x v="0"/>
    <n v="39"/>
    <x v="6"/>
    <x v="0"/>
    <d v="2025-03-12T00:00:00"/>
    <x v="1"/>
    <s v="Product_57"/>
    <x v="0"/>
    <x v="1"/>
    <n v="4764.59"/>
    <n v="5703.68"/>
    <n v="87"/>
    <n v="16261.39"/>
    <n v="1072.55"/>
    <n v="15188.84"/>
    <n v="2462.59"/>
    <s v="South"/>
    <n v="22814.720000000001"/>
    <n v="3756.3600000000006"/>
  </r>
  <r>
    <s v="ORD00196"/>
    <x v="11"/>
    <s v="CUST0092"/>
    <s v="PROD0013"/>
    <n v="6"/>
    <x v="1"/>
    <n v="22"/>
    <s v="Customer_92"/>
    <x v="1"/>
    <n v="34"/>
    <x v="6"/>
    <x v="1"/>
    <d v="2025-02-10T00:00:00"/>
    <x v="1"/>
    <s v="Product_13"/>
    <x v="1"/>
    <x v="3"/>
    <n v="3957.37"/>
    <n v="5045.3500000000004"/>
    <n v="227"/>
    <n v="3275.69"/>
    <n v="781.86"/>
    <n v="2493.83"/>
    <n v="1884.2"/>
    <s v="South"/>
    <n v="30272.100000000002"/>
    <n v="6527.8800000000028"/>
  </r>
  <r>
    <s v="ORD00167"/>
    <x v="157"/>
    <s v="CUST0143"/>
    <s v="PROD0015"/>
    <n v="5"/>
    <x v="0"/>
    <n v="4"/>
    <s v="Customer_143"/>
    <x v="1"/>
    <n v="25"/>
    <x v="2"/>
    <x v="5"/>
    <d v="2024-01-24T00:00:00"/>
    <x v="0"/>
    <s v="Product_15"/>
    <x v="3"/>
    <x v="3"/>
    <n v="4133.24"/>
    <n v="6302.13"/>
    <n v="299"/>
    <n v="18515.43"/>
    <n v="362.71"/>
    <n v="18152.72"/>
    <n v="4494.16"/>
    <s v="West"/>
    <n v="31510.65"/>
    <n v="10844.45"/>
  </r>
  <r>
    <s v="ORD00169"/>
    <x v="158"/>
    <s v="CUST0152"/>
    <s v="PROD0006"/>
    <n v="5"/>
    <x v="1"/>
    <n v="10"/>
    <s v="Customer_152"/>
    <x v="1"/>
    <n v="50"/>
    <x v="6"/>
    <x v="3"/>
    <d v="2023-01-27T00:00:00"/>
    <x v="1"/>
    <s v="Product_6"/>
    <x v="1"/>
    <x v="1"/>
    <n v="2025.88"/>
    <n v="2513.29"/>
    <n v="67"/>
    <n v="6558.78"/>
    <n v="89.48"/>
    <n v="6469.3"/>
    <n v="2507.48"/>
    <s v="East"/>
    <n v="12566.45"/>
    <n v="2437.0499999999993"/>
  </r>
  <r>
    <s v="ORD00170"/>
    <x v="77"/>
    <s v="CUST0201"/>
    <s v="PROD0025"/>
    <n v="6"/>
    <x v="3"/>
    <n v="24"/>
    <s v="Customer_201"/>
    <x v="0"/>
    <n v="45"/>
    <x v="5"/>
    <x v="0"/>
    <d v="2023-01-15T00:00:00"/>
    <x v="2"/>
    <s v="Product_25"/>
    <x v="2"/>
    <x v="1"/>
    <n v="4398.43"/>
    <n v="6683.28"/>
    <n v="152"/>
    <n v="1853.57"/>
    <n v="431.72"/>
    <n v="1421.85"/>
    <n v="2761.47"/>
    <s v="West"/>
    <n v="40099.68"/>
    <n v="13709.099999999997"/>
  </r>
  <r>
    <s v="ORD00171"/>
    <x v="98"/>
    <s v="CUST0144"/>
    <s v="PROD0034"/>
    <n v="4"/>
    <x v="3"/>
    <n v="13"/>
    <s v="Customer_144"/>
    <x v="1"/>
    <n v="60"/>
    <x v="2"/>
    <x v="1"/>
    <d v="2023-04-01T00:00:00"/>
    <x v="2"/>
    <s v="Product_34"/>
    <x v="0"/>
    <x v="2"/>
    <n v="3479.48"/>
    <n v="5364.57"/>
    <n v="41"/>
    <n v="5743.66"/>
    <n v="98.06"/>
    <n v="5645.6"/>
    <n v="104.63"/>
    <s v="East"/>
    <n v="21458.28"/>
    <n v="7540.3599999999988"/>
  </r>
  <r>
    <s v="ORD00200"/>
    <x v="81"/>
    <s v="CUST0097"/>
    <s v="PROD0055"/>
    <n v="6"/>
    <x v="2"/>
    <n v="19"/>
    <s v="Customer_97"/>
    <x v="0"/>
    <n v="46"/>
    <x v="7"/>
    <x v="2"/>
    <d v="2022-07-07T00:00:00"/>
    <x v="1"/>
    <s v="Product_55"/>
    <x v="3"/>
    <x v="3"/>
    <n v="4836.3999999999996"/>
    <n v="7004.05"/>
    <n v="98"/>
    <n v="13602.25"/>
    <n v="98.93"/>
    <n v="13503.32"/>
    <n v="1879.58"/>
    <s v="East"/>
    <n v="42024.3"/>
    <n v="13005.900000000003"/>
  </r>
  <r>
    <s v="ORD00173"/>
    <x v="116"/>
    <s v="CUST0175"/>
    <s v="PROD0003"/>
    <n v="2"/>
    <x v="1"/>
    <n v="8"/>
    <s v="Customer_175"/>
    <x v="1"/>
    <n v="53"/>
    <x v="4"/>
    <x v="2"/>
    <d v="2022-06-27T00:00:00"/>
    <x v="0"/>
    <s v="Product_3"/>
    <x v="3"/>
    <x v="0"/>
    <n v="952.01"/>
    <n v="1107.5"/>
    <n v="162"/>
    <n v="8132.15"/>
    <n v="1161.55"/>
    <n v="6970.6"/>
    <n v="2384.83"/>
    <s v="South"/>
    <n v="2215"/>
    <n v="310.98"/>
  </r>
  <r>
    <s v="ORD00190"/>
    <x v="14"/>
    <s v="CUST0099"/>
    <s v="PROD0002"/>
    <n v="4"/>
    <x v="3"/>
    <n v="18"/>
    <s v="Customer_99"/>
    <x v="0"/>
    <n v="53"/>
    <x v="7"/>
    <x v="4"/>
    <d v="2023-11-12T00:00:00"/>
    <x v="1"/>
    <s v="Product_2"/>
    <x v="0"/>
    <x v="0"/>
    <n v="3231.26"/>
    <n v="4308.05"/>
    <n v="21"/>
    <n v="9164.26"/>
    <n v="1081.94"/>
    <n v="8082.32"/>
    <n v="1421.55"/>
    <s v="North"/>
    <n v="17232.2"/>
    <n v="4307.16"/>
  </r>
  <r>
    <s v="ORD00194"/>
    <x v="159"/>
    <s v="CUST0148"/>
    <s v="PROD0026"/>
    <n v="6"/>
    <x v="2"/>
    <n v="14"/>
    <s v="Customer_148"/>
    <x v="0"/>
    <n v="41"/>
    <x v="7"/>
    <x v="2"/>
    <d v="2022-10-27T00:00:00"/>
    <x v="1"/>
    <s v="Product_26"/>
    <x v="0"/>
    <x v="1"/>
    <n v="1612.7"/>
    <n v="1932.63"/>
    <n v="278"/>
    <n v="18551.849999999999"/>
    <n v="4154.88"/>
    <n v="14396.97"/>
    <n v="472.37"/>
    <s v="West"/>
    <n v="11595.78"/>
    <n v="1919.5800000000004"/>
  </r>
  <r>
    <s v="ORD00183"/>
    <x v="69"/>
    <s v="CUST0109"/>
    <s v="PROD0012"/>
    <n v="3"/>
    <x v="2"/>
    <n v="15"/>
    <s v="Customer_109"/>
    <x v="0"/>
    <n v="42"/>
    <x v="6"/>
    <x v="2"/>
    <d v="2023-06-09T00:00:00"/>
    <x v="0"/>
    <s v="Product_12"/>
    <x v="0"/>
    <x v="2"/>
    <n v="762.02"/>
    <n v="1161.9100000000001"/>
    <n v="293"/>
    <n v="14411.98"/>
    <n v="3456.94"/>
    <n v="10955.04"/>
    <n v="464.95"/>
    <s v="West"/>
    <n v="3485.7300000000005"/>
    <n v="1199.6700000000003"/>
  </r>
  <r>
    <s v="ORD00184"/>
    <x v="160"/>
    <s v="CUST0161"/>
    <s v="PROD0016"/>
    <n v="2"/>
    <x v="3"/>
    <n v="24"/>
    <s v="Customer_161"/>
    <x v="1"/>
    <n v="21"/>
    <x v="6"/>
    <x v="4"/>
    <d v="2024-07-24T00:00:00"/>
    <x v="0"/>
    <s v="Product_16"/>
    <x v="3"/>
    <x v="1"/>
    <n v="4581.92"/>
    <n v="5789.36"/>
    <n v="140"/>
    <n v="14327.18"/>
    <n v="2305.98"/>
    <n v="12021.2"/>
    <n v="4679.66"/>
    <s v="West"/>
    <n v="11578.72"/>
    <n v="2414.8799999999992"/>
  </r>
  <r>
    <s v="ORD00202"/>
    <x v="83"/>
    <s v="CUST0109"/>
    <s v="PROD0047"/>
    <n v="2"/>
    <x v="1"/>
    <n v="10"/>
    <s v="Customer_109"/>
    <x v="0"/>
    <n v="42"/>
    <x v="6"/>
    <x v="2"/>
    <d v="2023-06-09T00:00:00"/>
    <x v="0"/>
    <s v="Product_47"/>
    <x v="3"/>
    <x v="0"/>
    <n v="1358.27"/>
    <n v="1886.86"/>
    <n v="153"/>
    <n v="1793.13"/>
    <n v="37.549999999999997"/>
    <n v="1755.58"/>
    <n v="2906.56"/>
    <s v="East"/>
    <n v="3773.72"/>
    <n v="1057.1799999999998"/>
  </r>
  <r>
    <s v="ORD00189"/>
    <x v="161"/>
    <s v="CUST0171"/>
    <s v="PROD0019"/>
    <n v="4"/>
    <x v="3"/>
    <n v="9"/>
    <s v="Customer_171"/>
    <x v="0"/>
    <n v="30"/>
    <x v="6"/>
    <x v="5"/>
    <d v="2022-01-04T00:00:00"/>
    <x v="1"/>
    <s v="Product_19"/>
    <x v="1"/>
    <x v="2"/>
    <n v="1137.26"/>
    <n v="1649.58"/>
    <n v="243"/>
    <n v="1393.52"/>
    <n v="317.05"/>
    <n v="1076.47"/>
    <n v="2277.13"/>
    <s v="South"/>
    <n v="6598.32"/>
    <n v="2049.2799999999997"/>
  </r>
  <r>
    <s v="ORD00198"/>
    <x v="128"/>
    <s v="CUST0122"/>
    <s v="PROD0026"/>
    <n v="5"/>
    <x v="3"/>
    <n v="8"/>
    <s v="Customer_122"/>
    <x v="1"/>
    <n v="45"/>
    <x v="1"/>
    <x v="2"/>
    <d v="2022-10-04T00:00:00"/>
    <x v="2"/>
    <s v="Product_26"/>
    <x v="0"/>
    <x v="1"/>
    <n v="1612.7"/>
    <n v="1932.63"/>
    <n v="278"/>
    <n v="15285.1"/>
    <n v="1621.72"/>
    <n v="13663.38"/>
    <n v="1390.31"/>
    <s v="East"/>
    <n v="9663.1500000000015"/>
    <n v="1599.6500000000003"/>
  </r>
  <r>
    <s v="ORD00208"/>
    <x v="20"/>
    <s v="CUST0167"/>
    <s v="PROD0014"/>
    <n v="1"/>
    <x v="2"/>
    <n v="9"/>
    <s v="Customer_167"/>
    <x v="1"/>
    <n v="46"/>
    <x v="6"/>
    <x v="1"/>
    <d v="2023-06-04T00:00:00"/>
    <x v="2"/>
    <s v="Product_14"/>
    <x v="1"/>
    <x v="3"/>
    <n v="4301.32"/>
    <n v="6870.07"/>
    <n v="243"/>
    <n v="11017.74"/>
    <n v="297.64"/>
    <n v="10720.1"/>
    <n v="2653.47"/>
    <s v="West"/>
    <n v="6870.07"/>
    <n v="2568.75"/>
  </r>
  <r>
    <s v="ORD00197"/>
    <x v="129"/>
    <s v="CUST0150"/>
    <s v="PROD0047"/>
    <n v="4"/>
    <x v="1"/>
    <n v="25"/>
    <s v="Customer_150"/>
    <x v="1"/>
    <n v="47"/>
    <x v="4"/>
    <x v="3"/>
    <d v="2022-12-06T00:00:00"/>
    <x v="1"/>
    <s v="Product_47"/>
    <x v="3"/>
    <x v="0"/>
    <n v="1358.27"/>
    <n v="1886.86"/>
    <n v="153"/>
    <n v="19386.41"/>
    <n v="3901.74"/>
    <n v="15484.67"/>
    <n v="3207.39"/>
    <s v="East"/>
    <n v="7547.44"/>
    <n v="2114.3599999999997"/>
  </r>
  <r>
    <s v="ORD00207"/>
    <x v="162"/>
    <s v="CUST0130"/>
    <s v="PROD0021"/>
    <n v="5"/>
    <x v="3"/>
    <n v="2"/>
    <s v="Customer_130"/>
    <x v="0"/>
    <n v="34"/>
    <x v="0"/>
    <x v="4"/>
    <d v="2023-01-16T00:00:00"/>
    <x v="2"/>
    <s v="Product_21"/>
    <x v="3"/>
    <x v="3"/>
    <n v="2359.8000000000002"/>
    <n v="2910.71"/>
    <n v="211"/>
    <n v="5099.9399999999996"/>
    <n v="626.55999999999995"/>
    <n v="4473.38"/>
    <n v="399.96"/>
    <s v="South"/>
    <n v="14553.55"/>
    <n v="2754.5499999999993"/>
  </r>
  <r>
    <s v="ORD00199"/>
    <x v="55"/>
    <s v="CUST0195"/>
    <s v="PROD0034"/>
    <n v="3"/>
    <x v="0"/>
    <n v="9"/>
    <s v="Customer_195"/>
    <x v="1"/>
    <n v="58"/>
    <x v="4"/>
    <x v="2"/>
    <d v="2022-04-04T00:00:00"/>
    <x v="1"/>
    <s v="Product_34"/>
    <x v="0"/>
    <x v="2"/>
    <n v="3479.48"/>
    <n v="5364.57"/>
    <n v="41"/>
    <n v="5066.8900000000003"/>
    <n v="1133.82"/>
    <n v="3933.07"/>
    <n v="678.32"/>
    <s v="South"/>
    <n v="16093.71"/>
    <n v="5655.2699999999986"/>
  </r>
  <r>
    <s v="ORD00221"/>
    <x v="163"/>
    <s v="CUST0218"/>
    <s v="PROD0043"/>
    <n v="2"/>
    <x v="1"/>
    <n v="5"/>
    <s v="Customer_218"/>
    <x v="0"/>
    <n v="51"/>
    <x v="7"/>
    <x v="1"/>
    <d v="2023-05-10T00:00:00"/>
    <x v="0"/>
    <s v="Product_43"/>
    <x v="3"/>
    <x v="1"/>
    <n v="4570.75"/>
    <n v="5891.26"/>
    <n v="285"/>
    <n v="12829.71"/>
    <n v="851.59"/>
    <n v="11978.12"/>
    <n v="2285.9"/>
    <s v="South"/>
    <n v="11782.52"/>
    <n v="2641.0200000000004"/>
  </r>
  <r>
    <s v="ORD00204"/>
    <x v="164"/>
    <s v="CUST0141"/>
    <s v="PROD0030"/>
    <n v="4"/>
    <x v="3"/>
    <n v="14"/>
    <s v="Customer_141"/>
    <x v="1"/>
    <n v="21"/>
    <x v="2"/>
    <x v="3"/>
    <d v="2024-09-27T00:00:00"/>
    <x v="1"/>
    <s v="Product_30"/>
    <x v="1"/>
    <x v="3"/>
    <n v="3959.29"/>
    <n v="5340.73"/>
    <n v="91"/>
    <n v="11557.19"/>
    <n v="333.31"/>
    <n v="11223.88"/>
    <n v="3365.19"/>
    <s v="East"/>
    <n v="21362.92"/>
    <n v="5525.7599999999984"/>
  </r>
  <r>
    <s v="ORD00205"/>
    <x v="165"/>
    <s v="CUST0175"/>
    <s v="PROD0033"/>
    <n v="1"/>
    <x v="0"/>
    <n v="2"/>
    <s v="Customer_175"/>
    <x v="1"/>
    <n v="53"/>
    <x v="4"/>
    <x v="2"/>
    <d v="2022-06-27T00:00:00"/>
    <x v="0"/>
    <s v="Product_33"/>
    <x v="2"/>
    <x v="1"/>
    <n v="828.79"/>
    <n v="1227.1300000000001"/>
    <n v="228"/>
    <n v="4896.7299999999996"/>
    <n v="1028.95"/>
    <n v="3867.78"/>
    <n v="634.62"/>
    <s v="North"/>
    <n v="1227.1300000000001"/>
    <n v="398.34000000000015"/>
  </r>
  <r>
    <s v="ORD00219"/>
    <x v="166"/>
    <s v="CUST0150"/>
    <s v="PROD0004"/>
    <n v="6"/>
    <x v="0"/>
    <n v="7"/>
    <s v="Customer_150"/>
    <x v="1"/>
    <n v="47"/>
    <x v="4"/>
    <x v="3"/>
    <d v="2022-12-06T00:00:00"/>
    <x v="1"/>
    <s v="Product_4"/>
    <x v="0"/>
    <x v="0"/>
    <n v="4318.8599999999997"/>
    <n v="4880.6400000000003"/>
    <n v="149"/>
    <n v="17967.23"/>
    <n v="2116.31"/>
    <n v="15850.92"/>
    <n v="3233.84"/>
    <s v="East"/>
    <n v="29283.840000000004"/>
    <n v="3370.6800000000039"/>
  </r>
  <r>
    <s v="ORD00210"/>
    <x v="53"/>
    <s v="CUST0208"/>
    <s v="PROD0047"/>
    <n v="2"/>
    <x v="1"/>
    <n v="22"/>
    <s v="Customer_208"/>
    <x v="0"/>
    <n v="46"/>
    <x v="5"/>
    <x v="2"/>
    <d v="2024-06-04T00:00:00"/>
    <x v="0"/>
    <s v="Product_47"/>
    <x v="3"/>
    <x v="0"/>
    <n v="1358.27"/>
    <n v="1886.86"/>
    <n v="153"/>
    <n v="7959.78"/>
    <n v="1121.47"/>
    <n v="6838.31"/>
    <n v="2564.77"/>
    <s v="East"/>
    <n v="3773.72"/>
    <n v="1057.1799999999998"/>
  </r>
  <r>
    <s v="ORD00212"/>
    <x v="167"/>
    <s v="CUST0164"/>
    <s v="PROD0011"/>
    <n v="4"/>
    <x v="1"/>
    <n v="14"/>
    <s v="Customer_164"/>
    <x v="1"/>
    <n v="41"/>
    <x v="7"/>
    <x v="2"/>
    <d v="2024-01-29T00:00:00"/>
    <x v="1"/>
    <s v="Product_11"/>
    <x v="0"/>
    <x v="1"/>
    <n v="2024.37"/>
    <n v="2982.78"/>
    <n v="11"/>
    <n v="3394.73"/>
    <n v="114.47"/>
    <n v="3280.26"/>
    <n v="3655.74"/>
    <s v="East"/>
    <n v="11931.12"/>
    <n v="3833.6400000000012"/>
  </r>
  <r>
    <s v="ORD00222"/>
    <x v="168"/>
    <s v="CUST0052"/>
    <s v="PROD0012"/>
    <n v="6"/>
    <x v="3"/>
    <n v="20"/>
    <s v="Customer_52"/>
    <x v="1"/>
    <n v="34"/>
    <x v="5"/>
    <x v="0"/>
    <d v="2023-06-07T00:00:00"/>
    <x v="0"/>
    <s v="Product_12"/>
    <x v="0"/>
    <x v="2"/>
    <n v="762.02"/>
    <n v="1161.9100000000001"/>
    <n v="293"/>
    <n v="11543.97"/>
    <n v="187.15"/>
    <n v="11356.82"/>
    <n v="1854.96"/>
    <s v="West"/>
    <n v="6971.4600000000009"/>
    <n v="2399.3400000000006"/>
  </r>
  <r>
    <s v="ORD00223"/>
    <x v="57"/>
    <s v="CUST0102"/>
    <s v="PROD0058"/>
    <n v="1"/>
    <x v="2"/>
    <n v="24"/>
    <s v="Customer_102"/>
    <x v="1"/>
    <n v="40"/>
    <x v="5"/>
    <x v="1"/>
    <d v="2023-07-30T00:00:00"/>
    <x v="1"/>
    <s v="Product_58"/>
    <x v="1"/>
    <x v="1"/>
    <n v="1480.33"/>
    <n v="1709.3"/>
    <n v="229"/>
    <n v="9337.66"/>
    <n v="1117.58"/>
    <n v="8220.08"/>
    <n v="3552.91"/>
    <s v="North"/>
    <n v="1709.3"/>
    <n v="228.97000000000003"/>
  </r>
  <r>
    <s v="ORD00224"/>
    <x v="169"/>
    <s v="CUST0091"/>
    <s v="PROD0011"/>
    <n v="2"/>
    <x v="0"/>
    <n v="12"/>
    <s v="Customer_91"/>
    <x v="0"/>
    <n v="38"/>
    <x v="7"/>
    <x v="3"/>
    <d v="2023-03-30T00:00:00"/>
    <x v="0"/>
    <s v="Product_11"/>
    <x v="0"/>
    <x v="1"/>
    <n v="2024.37"/>
    <n v="2982.78"/>
    <n v="11"/>
    <n v="15943.38"/>
    <n v="3509.22"/>
    <n v="12434.16"/>
    <n v="2156.34"/>
    <s v="South"/>
    <n v="5965.56"/>
    <n v="1916.8200000000006"/>
  </r>
  <r>
    <s v="ORD00225"/>
    <x v="170"/>
    <s v="CUST0202"/>
    <s v="PROD0028"/>
    <n v="2"/>
    <x v="2"/>
    <n v="17"/>
    <s v="Customer_202"/>
    <x v="1"/>
    <n v="30"/>
    <x v="1"/>
    <x v="0"/>
    <d v="2024-11-12T00:00:00"/>
    <x v="2"/>
    <s v="Product_28"/>
    <x v="1"/>
    <x v="3"/>
    <n v="2412.25"/>
    <n v="3672.51"/>
    <n v="100"/>
    <n v="9504.49"/>
    <n v="322.72000000000003"/>
    <n v="9181.77"/>
    <n v="2119.89"/>
    <s v="North"/>
    <n v="7345.02"/>
    <n v="2520.5200000000004"/>
  </r>
  <r>
    <s v="ORD00226"/>
    <x v="171"/>
    <s v="CUST0053"/>
    <s v="PROD0018"/>
    <n v="1"/>
    <x v="2"/>
    <n v="2"/>
    <s v="Customer_53"/>
    <x v="1"/>
    <n v="40"/>
    <x v="4"/>
    <x v="1"/>
    <d v="2023-03-10T00:00:00"/>
    <x v="0"/>
    <s v="Product_18"/>
    <x v="2"/>
    <x v="1"/>
    <n v="1290.44"/>
    <n v="1756.94"/>
    <n v="226"/>
    <n v="8369.3799999999992"/>
    <n v="771.61"/>
    <n v="7597.77"/>
    <n v="3002.26"/>
    <s v="North"/>
    <n v="1756.94"/>
    <n v="466.5"/>
  </r>
  <r>
    <s v="ORD00227"/>
    <x v="172"/>
    <s v="CUST0084"/>
    <s v="PROD0052"/>
    <n v="3"/>
    <x v="0"/>
    <n v="17"/>
    <s v="Customer_84"/>
    <x v="1"/>
    <n v="33"/>
    <x v="0"/>
    <x v="5"/>
    <d v="2024-09-11T00:00:00"/>
    <x v="2"/>
    <s v="Product_52"/>
    <x v="0"/>
    <x v="2"/>
    <n v="3470.49"/>
    <n v="5407.89"/>
    <n v="141"/>
    <n v="6658.5"/>
    <n v="358.99"/>
    <n v="6299.51"/>
    <n v="3792.9"/>
    <s v="South"/>
    <n v="16223.670000000002"/>
    <n v="5812.2000000000016"/>
  </r>
  <r>
    <s v="ORD00228"/>
    <x v="81"/>
    <s v="CUST0187"/>
    <s v="PROD0018"/>
    <n v="2"/>
    <x v="2"/>
    <n v="18"/>
    <s v="Customer_187"/>
    <x v="0"/>
    <n v="47"/>
    <x v="7"/>
    <x v="5"/>
    <d v="2024-05-05T00:00:00"/>
    <x v="1"/>
    <s v="Product_18"/>
    <x v="2"/>
    <x v="1"/>
    <n v="1290.44"/>
    <n v="1756.94"/>
    <n v="226"/>
    <n v="6524.3"/>
    <n v="1074.49"/>
    <n v="5449.81"/>
    <n v="2018.63"/>
    <s v="North"/>
    <n v="3513.88"/>
    <n v="933"/>
  </r>
  <r>
    <s v="ORD00229"/>
    <x v="173"/>
    <s v="CUST0146"/>
    <s v="PROD0052"/>
    <n v="6"/>
    <x v="1"/>
    <n v="9"/>
    <s v="Customer_146"/>
    <x v="0"/>
    <n v="36"/>
    <x v="4"/>
    <x v="3"/>
    <d v="2022-12-05T00:00:00"/>
    <x v="2"/>
    <s v="Product_52"/>
    <x v="0"/>
    <x v="2"/>
    <n v="3470.49"/>
    <n v="5407.89"/>
    <n v="141"/>
    <n v="5920.34"/>
    <n v="1033.0999999999999"/>
    <n v="4887.24"/>
    <n v="3665.7"/>
    <s v="West"/>
    <n v="32447.340000000004"/>
    <n v="11624.400000000003"/>
  </r>
  <r>
    <s v="ORD00230"/>
    <x v="174"/>
    <s v="CUST0018"/>
    <s v="PROD0013"/>
    <n v="4"/>
    <x v="1"/>
    <n v="10"/>
    <s v="Customer_18"/>
    <x v="0"/>
    <n v="48"/>
    <x v="3"/>
    <x v="1"/>
    <d v="2023-03-04T00:00:00"/>
    <x v="1"/>
    <s v="Product_13"/>
    <x v="1"/>
    <x v="3"/>
    <n v="3957.37"/>
    <n v="5045.3500000000004"/>
    <n v="227"/>
    <n v="15797.35"/>
    <n v="2105.83"/>
    <n v="13691.52"/>
    <n v="3759.36"/>
    <s v="North"/>
    <n v="20181.400000000001"/>
    <n v="4351.9200000000019"/>
  </r>
  <r>
    <s v="ORD00231"/>
    <x v="175"/>
    <s v="CUST0214"/>
    <s v="PROD0058"/>
    <n v="2"/>
    <x v="1"/>
    <n v="14"/>
    <s v="Customer_214"/>
    <x v="1"/>
    <n v="22"/>
    <x v="0"/>
    <x v="4"/>
    <d v="2022-04-10T00:00:00"/>
    <x v="1"/>
    <s v="Product_58"/>
    <x v="1"/>
    <x v="1"/>
    <n v="1480.33"/>
    <n v="1709.3"/>
    <n v="229"/>
    <n v="19037.96"/>
    <n v="754.88"/>
    <n v="18283.080000000002"/>
    <n v="2165.79"/>
    <s v="South"/>
    <n v="3418.6"/>
    <n v="457.94000000000005"/>
  </r>
  <r>
    <s v="ORD00232"/>
    <x v="176"/>
    <s v="CUST0053"/>
    <s v="PROD0039"/>
    <n v="3"/>
    <x v="3"/>
    <n v="16"/>
    <s v="Customer_53"/>
    <x v="1"/>
    <n v="40"/>
    <x v="4"/>
    <x v="1"/>
    <d v="2023-03-10T00:00:00"/>
    <x v="0"/>
    <s v="Product_39"/>
    <x v="0"/>
    <x v="2"/>
    <n v="3696.72"/>
    <n v="4397.13"/>
    <n v="92"/>
    <n v="14606.97"/>
    <n v="2226.4499999999998"/>
    <n v="12380.52"/>
    <n v="391.73"/>
    <s v="South"/>
    <n v="13191.39"/>
    <n v="2101.2300000000009"/>
  </r>
  <r>
    <s v="ORD00233"/>
    <x v="46"/>
    <s v="CUST0116"/>
    <s v="PROD0051"/>
    <n v="3"/>
    <x v="2"/>
    <n v="9"/>
    <s v="Customer_116"/>
    <x v="1"/>
    <n v="39"/>
    <x v="6"/>
    <x v="3"/>
    <d v="2024-01-12T00:00:00"/>
    <x v="2"/>
    <s v="Product_51"/>
    <x v="0"/>
    <x v="1"/>
    <n v="1607.82"/>
    <n v="2197.14"/>
    <n v="27"/>
    <n v="4598.91"/>
    <n v="905.45"/>
    <n v="3693.46"/>
    <n v="3000"/>
    <s v="West"/>
    <n v="6591.42"/>
    <n v="1767.9599999999998"/>
  </r>
  <r>
    <s v="ORD00234"/>
    <x v="177"/>
    <s v="CUST0105"/>
    <s v="PROD0011"/>
    <n v="2"/>
    <x v="0"/>
    <n v="0"/>
    <s v="Customer_105"/>
    <x v="0"/>
    <n v="46"/>
    <x v="0"/>
    <x v="2"/>
    <d v="2024-04-27T00:00:00"/>
    <x v="1"/>
    <s v="Product_11"/>
    <x v="0"/>
    <x v="1"/>
    <n v="2024.37"/>
    <n v="2982.78"/>
    <n v="11"/>
    <n v="541.29"/>
    <n v="61.94"/>
    <n v="479.35"/>
    <n v="490.81"/>
    <s v="West"/>
    <n v="5965.56"/>
    <n v="1916.8200000000006"/>
  </r>
  <r>
    <s v="ORD00235"/>
    <x v="157"/>
    <s v="CUST0086"/>
    <s v="PROD0046"/>
    <n v="2"/>
    <x v="2"/>
    <n v="18"/>
    <s v="Customer_86"/>
    <x v="1"/>
    <n v="45"/>
    <x v="7"/>
    <x v="2"/>
    <d v="2024-05-12T00:00:00"/>
    <x v="2"/>
    <s v="Product_46"/>
    <x v="2"/>
    <x v="1"/>
    <n v="2643.84"/>
    <n v="3790.58"/>
    <n v="63"/>
    <n v="9992.52"/>
    <n v="682.01"/>
    <n v="9310.51"/>
    <n v="1833.07"/>
    <s v="North"/>
    <n v="7581.16"/>
    <n v="2293.4799999999996"/>
  </r>
  <r>
    <s v="ORD00236"/>
    <x v="133"/>
    <s v="CUST0057"/>
    <s v="PROD0039"/>
    <n v="3"/>
    <x v="3"/>
    <n v="17"/>
    <s v="Customer_57"/>
    <x v="1"/>
    <n v="31"/>
    <x v="4"/>
    <x v="5"/>
    <d v="2024-04-07T00:00:00"/>
    <x v="1"/>
    <s v="Product_39"/>
    <x v="0"/>
    <x v="2"/>
    <n v="3696.72"/>
    <n v="4397.13"/>
    <n v="92"/>
    <n v="7317.16"/>
    <n v="1458.1"/>
    <n v="5859.06"/>
    <n v="3583.5"/>
    <s v="North"/>
    <n v="13191.39"/>
    <n v="2101.2300000000009"/>
  </r>
  <r>
    <s v="ORD00237"/>
    <x v="178"/>
    <s v="CUST0027"/>
    <s v="PROD0032"/>
    <n v="6"/>
    <x v="0"/>
    <n v="17"/>
    <s v="Customer_27"/>
    <x v="1"/>
    <n v="47"/>
    <x v="2"/>
    <x v="1"/>
    <d v="2023-06-08T00:00:00"/>
    <x v="0"/>
    <s v="Product_32"/>
    <x v="2"/>
    <x v="3"/>
    <n v="1733.92"/>
    <n v="2099.92"/>
    <n v="175"/>
    <n v="19010.349999999999"/>
    <n v="4312.88"/>
    <n v="14697.47"/>
    <n v="4929.16"/>
    <s v="West"/>
    <n v="12599.52"/>
    <n v="2196"/>
  </r>
  <r>
    <s v="ORD00238"/>
    <x v="15"/>
    <s v="CUST0082"/>
    <s v="PROD0014"/>
    <n v="4"/>
    <x v="3"/>
    <n v="4"/>
    <s v="Customer_82"/>
    <x v="1"/>
    <n v="31"/>
    <x v="6"/>
    <x v="4"/>
    <d v="2025-01-03T00:00:00"/>
    <x v="0"/>
    <s v="Product_14"/>
    <x v="1"/>
    <x v="3"/>
    <n v="4301.32"/>
    <n v="6870.07"/>
    <n v="243"/>
    <n v="17132.63"/>
    <n v="2946.78"/>
    <n v="14185.85"/>
    <n v="1600.08"/>
    <s v="West"/>
    <n v="27480.28"/>
    <n v="10275"/>
  </r>
  <r>
    <s v="ORD00239"/>
    <x v="179"/>
    <s v="CUST0021"/>
    <s v="PROD0047"/>
    <n v="2"/>
    <x v="1"/>
    <n v="0"/>
    <s v="Customer_21"/>
    <x v="0"/>
    <n v="47"/>
    <x v="7"/>
    <x v="5"/>
    <d v="2023-01-06T00:00:00"/>
    <x v="0"/>
    <s v="Product_47"/>
    <x v="3"/>
    <x v="0"/>
    <n v="1358.27"/>
    <n v="1886.86"/>
    <n v="153"/>
    <n v="19633.189999999999"/>
    <n v="2550.64"/>
    <n v="17082.55"/>
    <n v="2772.07"/>
    <s v="North"/>
    <n v="3773.72"/>
    <n v="1057.1799999999998"/>
  </r>
  <r>
    <s v="ORD00240"/>
    <x v="180"/>
    <s v="CUST0181"/>
    <s v="PROD0046"/>
    <n v="6"/>
    <x v="2"/>
    <n v="1"/>
    <s v="Customer_181"/>
    <x v="1"/>
    <n v="24"/>
    <x v="1"/>
    <x v="2"/>
    <d v="2023-10-28T00:00:00"/>
    <x v="1"/>
    <s v="Product_46"/>
    <x v="2"/>
    <x v="1"/>
    <n v="2643.84"/>
    <n v="3790.58"/>
    <n v="63"/>
    <n v="2741.17"/>
    <n v="208.58"/>
    <n v="2532.59"/>
    <n v="3285.15"/>
    <s v="North"/>
    <n v="22743.48"/>
    <n v="6880.4399999999987"/>
  </r>
  <r>
    <s v="ORD00241"/>
    <x v="133"/>
    <s v="CUST0129"/>
    <s v="PROD0040"/>
    <n v="1"/>
    <x v="2"/>
    <n v="8"/>
    <s v="Customer_129"/>
    <x v="1"/>
    <n v="36"/>
    <x v="5"/>
    <x v="1"/>
    <d v="2023-09-26T00:00:00"/>
    <x v="2"/>
    <s v="Product_40"/>
    <x v="1"/>
    <x v="1"/>
    <n v="2345.7800000000002"/>
    <n v="2891.96"/>
    <n v="122"/>
    <n v="18082.91"/>
    <n v="509.59"/>
    <n v="17573.32"/>
    <n v="1898.49"/>
    <s v="West"/>
    <n v="2891.96"/>
    <n v="546.17999999999984"/>
  </r>
  <r>
    <s v="ORD00242"/>
    <x v="181"/>
    <s v="CUST0088"/>
    <s v="PROD0043"/>
    <n v="3"/>
    <x v="2"/>
    <n v="18"/>
    <s v="Customer_88"/>
    <x v="0"/>
    <n v="53"/>
    <x v="6"/>
    <x v="2"/>
    <d v="2022-12-10T00:00:00"/>
    <x v="0"/>
    <s v="Product_43"/>
    <x v="3"/>
    <x v="1"/>
    <n v="4570.75"/>
    <n v="5891.26"/>
    <n v="285"/>
    <n v="2177.89"/>
    <n v="499.31"/>
    <n v="1678.58"/>
    <n v="4120.21"/>
    <s v="South"/>
    <n v="17673.78"/>
    <n v="3961.5300000000007"/>
  </r>
  <r>
    <s v="ORD00243"/>
    <x v="182"/>
    <s v="CUST0211"/>
    <s v="PROD0004"/>
    <n v="3"/>
    <x v="2"/>
    <n v="25"/>
    <s v="Customer_211"/>
    <x v="1"/>
    <n v="45"/>
    <x v="1"/>
    <x v="2"/>
    <d v="2022-03-23T00:00:00"/>
    <x v="1"/>
    <s v="Product_4"/>
    <x v="0"/>
    <x v="0"/>
    <n v="4318.8599999999997"/>
    <n v="4880.6400000000003"/>
    <n v="149"/>
    <n v="717.14"/>
    <n v="97.56"/>
    <n v="619.58000000000004"/>
    <n v="1232.76"/>
    <s v="East"/>
    <n v="14641.920000000002"/>
    <n v="1685.340000000002"/>
  </r>
  <r>
    <s v="ORD00244"/>
    <x v="183"/>
    <s v="CUST0126"/>
    <s v="PROD0057"/>
    <n v="2"/>
    <x v="1"/>
    <n v="11"/>
    <s v="Customer_126"/>
    <x v="1"/>
    <n v="41"/>
    <x v="0"/>
    <x v="1"/>
    <d v="2024-07-31T00:00:00"/>
    <x v="2"/>
    <s v="Product_57"/>
    <x v="0"/>
    <x v="1"/>
    <n v="4764.59"/>
    <n v="5703.68"/>
    <n v="87"/>
    <n v="10646.65"/>
    <n v="2293.46"/>
    <n v="8353.19"/>
    <n v="3344.29"/>
    <s v="East"/>
    <n v="11407.36"/>
    <n v="1878.1800000000003"/>
  </r>
  <r>
    <s v="ORD00245"/>
    <x v="184"/>
    <s v="CUST0120"/>
    <s v="PROD0028"/>
    <n v="5"/>
    <x v="1"/>
    <n v="5"/>
    <s v="Customer_120"/>
    <x v="1"/>
    <n v="32"/>
    <x v="5"/>
    <x v="0"/>
    <d v="2023-06-18T00:00:00"/>
    <x v="2"/>
    <s v="Product_28"/>
    <x v="1"/>
    <x v="3"/>
    <n v="2412.25"/>
    <n v="3672.51"/>
    <n v="100"/>
    <n v="1083.94"/>
    <n v="134.38"/>
    <n v="949.56"/>
    <n v="1749.41"/>
    <s v="North"/>
    <n v="18362.550000000003"/>
    <n v="6301.3000000000011"/>
  </r>
  <r>
    <s v="ORD00246"/>
    <x v="171"/>
    <s v="CUST0219"/>
    <s v="PROD0017"/>
    <n v="6"/>
    <x v="2"/>
    <n v="12"/>
    <s v="Customer_219"/>
    <x v="0"/>
    <n v="24"/>
    <x v="3"/>
    <x v="0"/>
    <d v="2022-11-20T00:00:00"/>
    <x v="0"/>
    <s v="Product_17"/>
    <x v="0"/>
    <x v="1"/>
    <n v="3612.18"/>
    <n v="3996.91"/>
    <n v="92"/>
    <n v="13921.4"/>
    <n v="544.63"/>
    <n v="13376.77"/>
    <n v="3766.79"/>
    <s v="East"/>
    <n v="23981.46"/>
    <n v="2308.38"/>
  </r>
  <r>
    <s v="ORD00247"/>
    <x v="71"/>
    <s v="CUST0034"/>
    <s v="PROD0023"/>
    <n v="4"/>
    <x v="3"/>
    <n v="7"/>
    <s v="Customer_34"/>
    <x v="0"/>
    <n v="37"/>
    <x v="4"/>
    <x v="1"/>
    <d v="2024-11-04T00:00:00"/>
    <x v="2"/>
    <s v="Product_23"/>
    <x v="3"/>
    <x v="3"/>
    <n v="1390.81"/>
    <n v="1874.61"/>
    <n v="262"/>
    <n v="4595.47"/>
    <n v="209.05"/>
    <n v="4386.42"/>
    <n v="232.51"/>
    <s v="West"/>
    <n v="7498.44"/>
    <n v="1935.1999999999998"/>
  </r>
  <r>
    <s v="ORD00248"/>
    <x v="185"/>
    <s v="CUST0143"/>
    <s v="PROD0035"/>
    <n v="1"/>
    <x v="2"/>
    <n v="24"/>
    <s v="Customer_143"/>
    <x v="1"/>
    <n v="25"/>
    <x v="2"/>
    <x v="5"/>
    <d v="2024-01-24T00:00:00"/>
    <x v="0"/>
    <s v="Product_35"/>
    <x v="0"/>
    <x v="3"/>
    <n v="1830.22"/>
    <n v="2820.9"/>
    <n v="11"/>
    <n v="5790.73"/>
    <n v="741.64"/>
    <n v="5049.09"/>
    <n v="3335.05"/>
    <s v="East"/>
    <n v="2820.9"/>
    <n v="990.68000000000006"/>
  </r>
  <r>
    <s v="ORD00249"/>
    <x v="186"/>
    <s v="CUST0201"/>
    <s v="PROD0015"/>
    <n v="4"/>
    <x v="0"/>
    <n v="16"/>
    <s v="Customer_201"/>
    <x v="0"/>
    <n v="45"/>
    <x v="5"/>
    <x v="0"/>
    <d v="2023-01-15T00:00:00"/>
    <x v="2"/>
    <s v="Product_15"/>
    <x v="3"/>
    <x v="3"/>
    <n v="4133.24"/>
    <n v="6302.13"/>
    <n v="299"/>
    <n v="3200.72"/>
    <n v="414.03"/>
    <n v="2786.69"/>
    <n v="538.96"/>
    <s v="East"/>
    <n v="25208.52"/>
    <n v="8675.5600000000013"/>
  </r>
  <r>
    <s v="ORD00250"/>
    <x v="187"/>
    <s v="CUST0006"/>
    <s v="PROD0016"/>
    <n v="3"/>
    <x v="2"/>
    <n v="16"/>
    <s v="Customer_6"/>
    <x v="0"/>
    <n v="23"/>
    <x v="2"/>
    <x v="3"/>
    <d v="2022-11-12T00:00:00"/>
    <x v="2"/>
    <s v="Product_16"/>
    <x v="3"/>
    <x v="1"/>
    <n v="4581.92"/>
    <n v="5789.36"/>
    <n v="140"/>
    <n v="2652.37"/>
    <n v="6.42"/>
    <n v="2645.95"/>
    <n v="1122.04"/>
    <s v="South"/>
    <n v="17368.079999999998"/>
    <n v="3622.3199999999988"/>
  </r>
  <r>
    <s v="ORD00251"/>
    <x v="188"/>
    <s v="CUST0181"/>
    <s v="PROD0039"/>
    <n v="5"/>
    <x v="0"/>
    <n v="19"/>
    <s v="Customer_181"/>
    <x v="1"/>
    <n v="24"/>
    <x v="1"/>
    <x v="2"/>
    <d v="2023-10-28T00:00:00"/>
    <x v="1"/>
    <s v="Product_39"/>
    <x v="0"/>
    <x v="2"/>
    <n v="3696.72"/>
    <n v="4397.13"/>
    <n v="92"/>
    <n v="4569.79"/>
    <n v="751.27"/>
    <n v="3818.52"/>
    <n v="2114.39"/>
    <s v="East"/>
    <n v="21985.65"/>
    <n v="3502.0500000000015"/>
  </r>
  <r>
    <s v="ORD00252"/>
    <x v="0"/>
    <s v="CUST0047"/>
    <s v="PROD0053"/>
    <n v="6"/>
    <x v="3"/>
    <n v="20"/>
    <s v="Customer_47"/>
    <x v="0"/>
    <n v="41"/>
    <x v="2"/>
    <x v="4"/>
    <d v="2024-03-28T00:00:00"/>
    <x v="1"/>
    <s v="Product_53"/>
    <x v="0"/>
    <x v="3"/>
    <n v="4675.05"/>
    <n v="5769.35"/>
    <n v="260"/>
    <n v="6035.18"/>
    <n v="1460.35"/>
    <n v="4574.83"/>
    <n v="2584.89"/>
    <s v="West"/>
    <n v="34616.100000000006"/>
    <n v="6565.8000000000011"/>
  </r>
  <r>
    <s v="ORD00253"/>
    <x v="184"/>
    <s v="CUST0217"/>
    <s v="PROD0046"/>
    <n v="6"/>
    <x v="2"/>
    <n v="22"/>
    <s v="Customer_217"/>
    <x v="1"/>
    <n v="46"/>
    <x v="1"/>
    <x v="3"/>
    <d v="2022-04-27T00:00:00"/>
    <x v="0"/>
    <s v="Product_46"/>
    <x v="2"/>
    <x v="1"/>
    <n v="2643.84"/>
    <n v="3790.58"/>
    <n v="63"/>
    <n v="9387.36"/>
    <n v="1596.89"/>
    <n v="7790.47"/>
    <n v="610.33000000000004"/>
    <s v="North"/>
    <n v="22743.48"/>
    <n v="6880.4399999999987"/>
  </r>
  <r>
    <s v="ORD00254"/>
    <x v="135"/>
    <s v="CUST0186"/>
    <s v="PROD0053"/>
    <n v="4"/>
    <x v="2"/>
    <n v="21"/>
    <s v="Customer_186"/>
    <x v="0"/>
    <n v="37"/>
    <x v="7"/>
    <x v="0"/>
    <d v="2024-01-17T00:00:00"/>
    <x v="0"/>
    <s v="Product_53"/>
    <x v="0"/>
    <x v="3"/>
    <n v="4675.05"/>
    <n v="5769.35"/>
    <n v="260"/>
    <n v="4320.47"/>
    <n v="90.91"/>
    <n v="4229.5600000000004"/>
    <n v="1155.74"/>
    <s v="North"/>
    <n v="23077.4"/>
    <n v="4377.2000000000007"/>
  </r>
  <r>
    <s v="ORD00255"/>
    <x v="189"/>
    <s v="CUST0038"/>
    <s v="PROD0023"/>
    <n v="5"/>
    <x v="2"/>
    <n v="11"/>
    <s v="Customer_38"/>
    <x v="0"/>
    <n v="48"/>
    <x v="7"/>
    <x v="0"/>
    <d v="2022-11-01T00:00:00"/>
    <x v="2"/>
    <s v="Product_23"/>
    <x v="3"/>
    <x v="3"/>
    <n v="1390.81"/>
    <n v="1874.61"/>
    <n v="262"/>
    <n v="5079.67"/>
    <n v="156.34"/>
    <n v="4923.33"/>
    <n v="3153.76"/>
    <s v="South"/>
    <n v="9373.0499999999993"/>
    <n v="2419"/>
  </r>
  <r>
    <s v="ORD00256"/>
    <x v="1"/>
    <s v="CUST0055"/>
    <s v="PROD0040"/>
    <n v="5"/>
    <x v="3"/>
    <n v="10"/>
    <s v="Customer_55"/>
    <x v="0"/>
    <n v="42"/>
    <x v="7"/>
    <x v="3"/>
    <d v="2022-11-15T00:00:00"/>
    <x v="2"/>
    <s v="Product_40"/>
    <x v="1"/>
    <x v="1"/>
    <n v="2345.7800000000002"/>
    <n v="2891.96"/>
    <n v="122"/>
    <n v="15569.41"/>
    <n v="2210.42"/>
    <n v="13358.99"/>
    <n v="3083.16"/>
    <s v="East"/>
    <n v="14459.8"/>
    <n v="2730.8999999999992"/>
  </r>
  <r>
    <s v="ORD00257"/>
    <x v="138"/>
    <s v="CUST0084"/>
    <s v="PROD0011"/>
    <n v="2"/>
    <x v="2"/>
    <n v="14"/>
    <s v="Customer_84"/>
    <x v="1"/>
    <n v="33"/>
    <x v="0"/>
    <x v="5"/>
    <d v="2024-09-11T00:00:00"/>
    <x v="2"/>
    <s v="Product_11"/>
    <x v="0"/>
    <x v="1"/>
    <n v="2024.37"/>
    <n v="2982.78"/>
    <n v="11"/>
    <n v="5851.56"/>
    <n v="694.43"/>
    <n v="5157.13"/>
    <n v="907.3"/>
    <s v="North"/>
    <n v="5965.56"/>
    <n v="1916.8200000000006"/>
  </r>
  <r>
    <s v="ORD00258"/>
    <x v="149"/>
    <s v="CUST0025"/>
    <s v="PROD0027"/>
    <n v="3"/>
    <x v="2"/>
    <n v="17"/>
    <s v="Customer_25"/>
    <x v="1"/>
    <n v="39"/>
    <x v="4"/>
    <x v="5"/>
    <d v="2022-06-05T00:00:00"/>
    <x v="1"/>
    <s v="Product_27"/>
    <x v="0"/>
    <x v="0"/>
    <n v="2340.46"/>
    <n v="2600.46"/>
    <n v="245"/>
    <n v="9262.8799999999992"/>
    <n v="621.79"/>
    <n v="8641.09"/>
    <n v="456.38"/>
    <s v="West"/>
    <n v="7801.38"/>
    <n v="780"/>
  </r>
  <r>
    <s v="ORD00259"/>
    <x v="117"/>
    <s v="CUST0064"/>
    <s v="PROD0005"/>
    <n v="3"/>
    <x v="1"/>
    <n v="9"/>
    <s v="Customer_64"/>
    <x v="0"/>
    <n v="58"/>
    <x v="0"/>
    <x v="0"/>
    <d v="2022-06-27T00:00:00"/>
    <x v="0"/>
    <s v="Product_5"/>
    <x v="1"/>
    <x v="1"/>
    <n v="3023.88"/>
    <n v="3903.42"/>
    <n v="217"/>
    <n v="9069.74"/>
    <n v="908.96"/>
    <n v="8160.78"/>
    <n v="2974.49"/>
    <s v="West"/>
    <n v="11710.26"/>
    <n v="2638.62"/>
  </r>
  <r>
    <s v="ORD00260"/>
    <x v="141"/>
    <s v="CUST0196"/>
    <s v="PROD0003"/>
    <n v="6"/>
    <x v="2"/>
    <n v="5"/>
    <s v="Customer_196"/>
    <x v="1"/>
    <n v="41"/>
    <x v="7"/>
    <x v="2"/>
    <d v="2022-07-10T00:00:00"/>
    <x v="2"/>
    <s v="Product_3"/>
    <x v="3"/>
    <x v="0"/>
    <n v="952.01"/>
    <n v="1107.5"/>
    <n v="162"/>
    <n v="17815.32"/>
    <n v="1895.39"/>
    <n v="15919.93"/>
    <n v="179.31"/>
    <s v="South"/>
    <n v="6645"/>
    <n v="932.94"/>
  </r>
  <r>
    <s v="ORD00261"/>
    <x v="190"/>
    <s v="CUST0027"/>
    <s v="PROD0059"/>
    <n v="3"/>
    <x v="1"/>
    <n v="0"/>
    <s v="Customer_27"/>
    <x v="1"/>
    <n v="47"/>
    <x v="2"/>
    <x v="1"/>
    <d v="2023-06-08T00:00:00"/>
    <x v="0"/>
    <s v="Product_59"/>
    <x v="1"/>
    <x v="3"/>
    <n v="1492.62"/>
    <n v="2285.1999999999998"/>
    <n v="106"/>
    <n v="3739.01"/>
    <n v="43.12"/>
    <n v="3695.89"/>
    <n v="838.25"/>
    <s v="East"/>
    <n v="6855.5999999999995"/>
    <n v="2377.7399999999998"/>
  </r>
  <r>
    <s v="ORD00262"/>
    <x v="191"/>
    <s v="CUST0044"/>
    <s v="PROD0008"/>
    <n v="6"/>
    <x v="3"/>
    <n v="24"/>
    <s v="Customer_44"/>
    <x v="0"/>
    <n v="43"/>
    <x v="5"/>
    <x v="0"/>
    <d v="2022-05-28T00:00:00"/>
    <x v="1"/>
    <s v="Product_8"/>
    <x v="1"/>
    <x v="1"/>
    <n v="2961.83"/>
    <n v="4189.8100000000004"/>
    <n v="165"/>
    <n v="17332.490000000002"/>
    <n v="807.54"/>
    <n v="16524.95"/>
    <n v="3517.73"/>
    <s v="East"/>
    <n v="25138.86"/>
    <n v="7367.8800000000028"/>
  </r>
  <r>
    <s v="ORD00263"/>
    <x v="76"/>
    <s v="CUST0086"/>
    <s v="PROD0008"/>
    <n v="5"/>
    <x v="0"/>
    <n v="20"/>
    <s v="Customer_86"/>
    <x v="1"/>
    <n v="45"/>
    <x v="7"/>
    <x v="2"/>
    <d v="2024-05-12T00:00:00"/>
    <x v="2"/>
    <s v="Product_8"/>
    <x v="1"/>
    <x v="1"/>
    <n v="2961.83"/>
    <n v="4189.8100000000004"/>
    <n v="165"/>
    <n v="19020.72"/>
    <n v="2485.06"/>
    <n v="16535.66"/>
    <n v="1677.28"/>
    <s v="North"/>
    <n v="20949.050000000003"/>
    <n v="6139.9000000000024"/>
  </r>
  <r>
    <s v="ORD00264"/>
    <x v="159"/>
    <s v="CUST0100"/>
    <s v="PROD0004"/>
    <n v="6"/>
    <x v="2"/>
    <n v="18"/>
    <s v="Customer_100"/>
    <x v="0"/>
    <n v="33"/>
    <x v="6"/>
    <x v="5"/>
    <d v="2023-03-06T00:00:00"/>
    <x v="1"/>
    <s v="Product_4"/>
    <x v="0"/>
    <x v="0"/>
    <n v="4318.8599999999997"/>
    <n v="4880.6400000000003"/>
    <n v="149"/>
    <n v="8665.41"/>
    <n v="1924.91"/>
    <n v="6740.5"/>
    <n v="460.07"/>
    <s v="West"/>
    <n v="29283.840000000004"/>
    <n v="3370.6800000000039"/>
  </r>
  <r>
    <s v="ORD00265"/>
    <x v="192"/>
    <s v="CUST0085"/>
    <s v="PROD0029"/>
    <n v="3"/>
    <x v="0"/>
    <n v="5"/>
    <s v="Customer_85"/>
    <x v="1"/>
    <n v="56"/>
    <x v="1"/>
    <x v="2"/>
    <d v="2023-06-26T00:00:00"/>
    <x v="2"/>
    <s v="Product_29"/>
    <x v="2"/>
    <x v="3"/>
    <n v="2787.43"/>
    <n v="4097.28"/>
    <n v="278"/>
    <n v="4708.96"/>
    <n v="1088.3900000000001"/>
    <n v="3620.57"/>
    <n v="2339.15"/>
    <s v="West"/>
    <n v="12291.84"/>
    <n v="3929.5499999999997"/>
  </r>
  <r>
    <s v="ORD00266"/>
    <x v="117"/>
    <s v="CUST0214"/>
    <s v="PROD0016"/>
    <n v="2"/>
    <x v="3"/>
    <n v="0"/>
    <s v="Customer_214"/>
    <x v="1"/>
    <n v="22"/>
    <x v="0"/>
    <x v="4"/>
    <d v="2022-04-10T00:00:00"/>
    <x v="1"/>
    <s v="Product_16"/>
    <x v="3"/>
    <x v="1"/>
    <n v="4581.92"/>
    <n v="5789.36"/>
    <n v="140"/>
    <n v="19956.11"/>
    <n v="2337.58"/>
    <n v="17618.53"/>
    <n v="3100.08"/>
    <s v="South"/>
    <n v="11578.72"/>
    <n v="2414.8799999999992"/>
  </r>
  <r>
    <s v="ORD00267"/>
    <x v="193"/>
    <s v="CUST0199"/>
    <s v="PROD0019"/>
    <n v="5"/>
    <x v="2"/>
    <n v="3"/>
    <s v="Customer_199"/>
    <x v="0"/>
    <n v="42"/>
    <x v="6"/>
    <x v="2"/>
    <d v="2022-01-30T00:00:00"/>
    <x v="1"/>
    <s v="Product_19"/>
    <x v="1"/>
    <x v="2"/>
    <n v="1137.26"/>
    <n v="1649.58"/>
    <n v="243"/>
    <n v="13502.01"/>
    <n v="1628.98"/>
    <n v="11873.03"/>
    <n v="3829.4"/>
    <s v="South"/>
    <n v="8247.9"/>
    <n v="2561.5999999999995"/>
  </r>
  <r>
    <s v="ORD00268"/>
    <x v="194"/>
    <s v="CUST0043"/>
    <s v="PROD0049"/>
    <n v="5"/>
    <x v="3"/>
    <n v="21"/>
    <s v="Customer_43"/>
    <x v="1"/>
    <n v="36"/>
    <x v="7"/>
    <x v="4"/>
    <d v="2023-06-26T00:00:00"/>
    <x v="0"/>
    <s v="Product_49"/>
    <x v="0"/>
    <x v="2"/>
    <n v="4793.34"/>
    <n v="7058.65"/>
    <n v="107"/>
    <n v="13979.46"/>
    <n v="3257.29"/>
    <n v="10722.17"/>
    <n v="3252.06"/>
    <s v="North"/>
    <n v="35293.25"/>
    <n v="11326.549999999997"/>
  </r>
  <r>
    <s v="ORD00269"/>
    <x v="36"/>
    <s v="CUST0062"/>
    <s v="PROD0009"/>
    <n v="2"/>
    <x v="2"/>
    <n v="0"/>
    <s v="Customer_62"/>
    <x v="0"/>
    <n v="37"/>
    <x v="1"/>
    <x v="4"/>
    <d v="2025-03-08T00:00:00"/>
    <x v="0"/>
    <s v="Product_9"/>
    <x v="2"/>
    <x v="3"/>
    <n v="1267.6600000000001"/>
    <n v="1481.07"/>
    <n v="99"/>
    <n v="5249.51"/>
    <n v="1296.6600000000001"/>
    <n v="3952.85"/>
    <n v="3504.22"/>
    <s v="North"/>
    <n v="2962.14"/>
    <n v="426.81999999999971"/>
  </r>
  <r>
    <s v="ORD00270"/>
    <x v="174"/>
    <s v="CUST0071"/>
    <s v="PROD0053"/>
    <n v="3"/>
    <x v="2"/>
    <n v="24"/>
    <s v="Customer_71"/>
    <x v="0"/>
    <n v="21"/>
    <x v="5"/>
    <x v="3"/>
    <d v="2024-07-16T00:00:00"/>
    <x v="0"/>
    <s v="Product_53"/>
    <x v="0"/>
    <x v="3"/>
    <n v="4675.05"/>
    <n v="5769.35"/>
    <n v="260"/>
    <n v="12720.55"/>
    <n v="1189.7"/>
    <n v="11530.85"/>
    <n v="4681.84"/>
    <s v="West"/>
    <n v="17308.050000000003"/>
    <n v="3282.9000000000005"/>
  </r>
  <r>
    <s v="ORD00271"/>
    <x v="195"/>
    <s v="CUST0085"/>
    <s v="PROD0002"/>
    <n v="3"/>
    <x v="2"/>
    <n v="20"/>
    <s v="Customer_85"/>
    <x v="1"/>
    <n v="56"/>
    <x v="1"/>
    <x v="2"/>
    <d v="2023-06-26T00:00:00"/>
    <x v="2"/>
    <s v="Product_2"/>
    <x v="0"/>
    <x v="0"/>
    <n v="3231.26"/>
    <n v="4308.05"/>
    <n v="21"/>
    <n v="13242.09"/>
    <n v="1251.8"/>
    <n v="11990.29"/>
    <n v="4975.87"/>
    <s v="East"/>
    <n v="12924.150000000001"/>
    <n v="3230.37"/>
  </r>
  <r>
    <s v="ORD00272"/>
    <x v="196"/>
    <s v="CUST0122"/>
    <s v="PROD0015"/>
    <n v="5"/>
    <x v="2"/>
    <n v="21"/>
    <s v="Customer_122"/>
    <x v="1"/>
    <n v="45"/>
    <x v="1"/>
    <x v="2"/>
    <d v="2022-10-04T00:00:00"/>
    <x v="2"/>
    <s v="Product_15"/>
    <x v="3"/>
    <x v="3"/>
    <n v="4133.24"/>
    <n v="6302.13"/>
    <n v="299"/>
    <n v="1360.53"/>
    <n v="71.7"/>
    <n v="1288.83"/>
    <n v="1816.57"/>
    <s v="West"/>
    <n v="31510.65"/>
    <n v="10844.45"/>
  </r>
  <r>
    <s v="ORD00273"/>
    <x v="197"/>
    <s v="CUST0075"/>
    <s v="PROD0018"/>
    <n v="1"/>
    <x v="1"/>
    <n v="15"/>
    <s v="Customer_75"/>
    <x v="1"/>
    <n v="55"/>
    <x v="5"/>
    <x v="3"/>
    <d v="2022-05-01T00:00:00"/>
    <x v="2"/>
    <s v="Product_18"/>
    <x v="2"/>
    <x v="1"/>
    <n v="1290.44"/>
    <n v="1756.94"/>
    <n v="226"/>
    <n v="4861.92"/>
    <n v="287.79000000000002"/>
    <n v="4574.13"/>
    <n v="4073.16"/>
    <s v="South"/>
    <n v="1756.94"/>
    <n v="466.5"/>
  </r>
  <r>
    <s v="ORD00274"/>
    <x v="135"/>
    <s v="CUST0147"/>
    <s v="PROD0026"/>
    <n v="3"/>
    <x v="2"/>
    <n v="15"/>
    <s v="Customer_147"/>
    <x v="1"/>
    <n v="29"/>
    <x v="6"/>
    <x v="5"/>
    <d v="2024-08-02T00:00:00"/>
    <x v="0"/>
    <s v="Product_26"/>
    <x v="0"/>
    <x v="1"/>
    <n v="1612.7"/>
    <n v="1932.63"/>
    <n v="278"/>
    <n v="528.62"/>
    <n v="86.7"/>
    <n v="441.92"/>
    <n v="4926.87"/>
    <s v="North"/>
    <n v="5797.89"/>
    <n v="959.79000000000019"/>
  </r>
  <r>
    <s v="ORD00275"/>
    <x v="198"/>
    <s v="CUST0023"/>
    <s v="PROD0039"/>
    <n v="4"/>
    <x v="1"/>
    <n v="25"/>
    <s v="Customer_23"/>
    <x v="0"/>
    <n v="29"/>
    <x v="1"/>
    <x v="2"/>
    <d v="2022-12-30T00:00:00"/>
    <x v="1"/>
    <s v="Product_39"/>
    <x v="0"/>
    <x v="2"/>
    <n v="3696.72"/>
    <n v="4397.13"/>
    <n v="92"/>
    <n v="12167.45"/>
    <n v="2109.84"/>
    <n v="10057.61"/>
    <n v="1901.14"/>
    <s v="North"/>
    <n v="17588.52"/>
    <n v="2801.6400000000012"/>
  </r>
  <r>
    <s v="ORD00276"/>
    <x v="199"/>
    <s v="CUST0182"/>
    <s v="PROD0055"/>
    <n v="3"/>
    <x v="0"/>
    <n v="11"/>
    <s v="Customer_182"/>
    <x v="1"/>
    <n v="59"/>
    <x v="2"/>
    <x v="1"/>
    <d v="2024-01-05T00:00:00"/>
    <x v="1"/>
    <s v="Product_55"/>
    <x v="3"/>
    <x v="3"/>
    <n v="4836.3999999999996"/>
    <n v="7004.05"/>
    <n v="98"/>
    <n v="4795.5200000000004"/>
    <n v="945.2"/>
    <n v="3850.32"/>
    <n v="1526.38"/>
    <s v="West"/>
    <n v="21012.15"/>
    <n v="6502.9500000000016"/>
  </r>
  <r>
    <s v="ORD00277"/>
    <x v="200"/>
    <s v="CUST0038"/>
    <s v="PROD0041"/>
    <n v="5"/>
    <x v="3"/>
    <n v="18"/>
    <s v="Customer_38"/>
    <x v="0"/>
    <n v="48"/>
    <x v="7"/>
    <x v="0"/>
    <d v="2022-11-01T00:00:00"/>
    <x v="2"/>
    <s v="Product_41"/>
    <x v="2"/>
    <x v="1"/>
    <n v="3358.26"/>
    <n v="4345.1099999999997"/>
    <n v="179"/>
    <n v="15168.68"/>
    <n v="2418.9"/>
    <n v="12749.78"/>
    <n v="2444.9299999999998"/>
    <s v="East"/>
    <n v="21725.55"/>
    <n v="4934.2499999999973"/>
  </r>
  <r>
    <s v="ORD00278"/>
    <x v="59"/>
    <s v="CUST0191"/>
    <s v="PROD0045"/>
    <n v="4"/>
    <x v="3"/>
    <n v="13"/>
    <s v="Customer_191"/>
    <x v="1"/>
    <n v="41"/>
    <x v="3"/>
    <x v="2"/>
    <d v="2023-09-23T00:00:00"/>
    <x v="1"/>
    <s v="Product_45"/>
    <x v="0"/>
    <x v="1"/>
    <n v="926.86"/>
    <n v="1109.73"/>
    <n v="287"/>
    <n v="3091.48"/>
    <n v="87.54"/>
    <n v="3003.94"/>
    <n v="993.75"/>
    <s v="South"/>
    <n v="4438.92"/>
    <n v="731.48"/>
  </r>
  <r>
    <s v="ORD00279"/>
    <x v="196"/>
    <s v="CUST0026"/>
    <s v="PROD0018"/>
    <n v="2"/>
    <x v="1"/>
    <n v="17"/>
    <s v="Customer_26"/>
    <x v="0"/>
    <n v="23"/>
    <x v="7"/>
    <x v="5"/>
    <d v="2022-05-07T00:00:00"/>
    <x v="1"/>
    <s v="Product_18"/>
    <x v="2"/>
    <x v="1"/>
    <n v="1290.44"/>
    <n v="1756.94"/>
    <n v="226"/>
    <n v="7963.31"/>
    <n v="927.31"/>
    <n v="7036"/>
    <n v="4786.5"/>
    <s v="East"/>
    <n v="3513.88"/>
    <n v="933"/>
  </r>
  <r>
    <s v="ORD00280"/>
    <x v="111"/>
    <s v="CUST0023"/>
    <s v="PROD0007"/>
    <n v="6"/>
    <x v="0"/>
    <n v="23"/>
    <s v="Customer_23"/>
    <x v="0"/>
    <n v="29"/>
    <x v="1"/>
    <x v="2"/>
    <d v="2022-12-30T00:00:00"/>
    <x v="1"/>
    <s v="Product_7"/>
    <x v="2"/>
    <x v="0"/>
    <n v="2849.7"/>
    <n v="3862"/>
    <n v="78"/>
    <n v="8018.87"/>
    <n v="903.67"/>
    <n v="7115.2"/>
    <n v="759.88"/>
    <s v="East"/>
    <n v="23172"/>
    <n v="6073.8000000000011"/>
  </r>
  <r>
    <s v="ORD00281"/>
    <x v="71"/>
    <s v="CUST0019"/>
    <s v="PROD0033"/>
    <n v="5"/>
    <x v="1"/>
    <n v="7"/>
    <s v="Customer_19"/>
    <x v="0"/>
    <n v="60"/>
    <x v="3"/>
    <x v="2"/>
    <d v="2023-10-02T00:00:00"/>
    <x v="1"/>
    <s v="Product_33"/>
    <x v="2"/>
    <x v="1"/>
    <n v="828.79"/>
    <n v="1227.1300000000001"/>
    <n v="228"/>
    <n v="3930.42"/>
    <n v="778.42"/>
    <n v="3152"/>
    <n v="592.88"/>
    <s v="East"/>
    <n v="6135.6500000000005"/>
    <n v="1991.7000000000007"/>
  </r>
  <r>
    <s v="ORD00282"/>
    <x v="187"/>
    <s v="CUST0120"/>
    <s v="PROD0001"/>
    <n v="1"/>
    <x v="1"/>
    <n v="2"/>
    <s v="Customer_120"/>
    <x v="1"/>
    <n v="32"/>
    <x v="5"/>
    <x v="0"/>
    <d v="2023-06-18T00:00:00"/>
    <x v="2"/>
    <s v="Product_1"/>
    <x v="2"/>
    <x v="2"/>
    <n v="4426.51"/>
    <n v="5123.7299999999996"/>
    <n v="298"/>
    <n v="5457.38"/>
    <n v="820.04"/>
    <n v="4637.34"/>
    <n v="1631.02"/>
    <s v="South"/>
    <n v="5123.7299999999996"/>
    <n v="697.21999999999935"/>
  </r>
  <r>
    <s v="ORD00283"/>
    <x v="201"/>
    <s v="CUST0077"/>
    <s v="PROD0025"/>
    <n v="5"/>
    <x v="0"/>
    <n v="9"/>
    <s v="Customer_77"/>
    <x v="1"/>
    <n v="42"/>
    <x v="4"/>
    <x v="3"/>
    <d v="2024-08-05T00:00:00"/>
    <x v="0"/>
    <s v="Product_25"/>
    <x v="2"/>
    <x v="1"/>
    <n v="4398.43"/>
    <n v="6683.28"/>
    <n v="152"/>
    <n v="19073.64"/>
    <n v="1693.04"/>
    <n v="17380.599999999999"/>
    <n v="311.77999999999997"/>
    <s v="South"/>
    <n v="33416.400000000001"/>
    <n v="11424.249999999996"/>
  </r>
  <r>
    <s v="ORD00284"/>
    <x v="178"/>
    <s v="CUST0219"/>
    <s v="PROD0044"/>
    <n v="2"/>
    <x v="0"/>
    <n v="0"/>
    <s v="Customer_219"/>
    <x v="0"/>
    <n v="24"/>
    <x v="3"/>
    <x v="0"/>
    <d v="2022-11-20T00:00:00"/>
    <x v="0"/>
    <s v="Product_44"/>
    <x v="3"/>
    <x v="2"/>
    <n v="1622.17"/>
    <n v="1993.72"/>
    <n v="262"/>
    <n v="2445.75"/>
    <n v="362.22"/>
    <n v="2083.5300000000002"/>
    <n v="2261.4699999999998"/>
    <s v="East"/>
    <n v="3987.44"/>
    <n v="743.09999999999991"/>
  </r>
  <r>
    <s v="ORD00285"/>
    <x v="202"/>
    <s v="CUST0021"/>
    <s v="PROD0060"/>
    <n v="3"/>
    <x v="2"/>
    <n v="11"/>
    <s v="Customer_21"/>
    <x v="0"/>
    <n v="47"/>
    <x v="7"/>
    <x v="5"/>
    <d v="2023-01-06T00:00:00"/>
    <x v="0"/>
    <s v="Product_60"/>
    <x v="1"/>
    <x v="2"/>
    <n v="4948.75"/>
    <n v="6628.41"/>
    <n v="268"/>
    <n v="766.83"/>
    <n v="120.55"/>
    <n v="646.28"/>
    <n v="1670.62"/>
    <s v="South"/>
    <n v="19885.23"/>
    <n v="5038.9799999999996"/>
  </r>
  <r>
    <s v="ORD00286"/>
    <x v="203"/>
    <s v="CUST0087"/>
    <s v="PROD0045"/>
    <n v="6"/>
    <x v="0"/>
    <n v="24"/>
    <s v="Customer_87"/>
    <x v="1"/>
    <n v="22"/>
    <x v="3"/>
    <x v="4"/>
    <d v="2023-06-29T00:00:00"/>
    <x v="2"/>
    <s v="Product_45"/>
    <x v="0"/>
    <x v="1"/>
    <n v="926.86"/>
    <n v="1109.73"/>
    <n v="287"/>
    <n v="13005.74"/>
    <n v="2753.17"/>
    <n v="10252.57"/>
    <n v="2108.39"/>
    <s v="South"/>
    <n v="6658.38"/>
    <n v="1097.22"/>
  </r>
  <r>
    <s v="ORD00287"/>
    <x v="46"/>
    <s v="CUST0050"/>
    <s v="PROD0040"/>
    <n v="4"/>
    <x v="3"/>
    <n v="9"/>
    <s v="Customer_50"/>
    <x v="1"/>
    <n v="23"/>
    <x v="3"/>
    <x v="1"/>
    <d v="2024-04-03T00:00:00"/>
    <x v="1"/>
    <s v="Product_40"/>
    <x v="1"/>
    <x v="1"/>
    <n v="2345.7800000000002"/>
    <n v="2891.96"/>
    <n v="122"/>
    <n v="19671.419999999998"/>
    <n v="2348.5100000000002"/>
    <n v="17322.91"/>
    <n v="209.81"/>
    <s v="West"/>
    <n v="11567.84"/>
    <n v="2184.7199999999993"/>
  </r>
  <r>
    <s v="ORD00288"/>
    <x v="204"/>
    <s v="CUST0117"/>
    <s v="PROD0033"/>
    <n v="2"/>
    <x v="3"/>
    <n v="3"/>
    <s v="Customer_117"/>
    <x v="1"/>
    <n v="28"/>
    <x v="1"/>
    <x v="1"/>
    <d v="2023-03-12T00:00:00"/>
    <x v="0"/>
    <s v="Product_33"/>
    <x v="2"/>
    <x v="1"/>
    <n v="828.79"/>
    <n v="1227.1300000000001"/>
    <n v="228"/>
    <n v="16125.78"/>
    <n v="2224.48"/>
    <n v="13901.3"/>
    <n v="3379.69"/>
    <s v="East"/>
    <n v="2454.2600000000002"/>
    <n v="796.68000000000029"/>
  </r>
  <r>
    <s v="ORD00289"/>
    <x v="205"/>
    <s v="CUST0072"/>
    <s v="PROD0041"/>
    <n v="6"/>
    <x v="2"/>
    <n v="21"/>
    <s v="Customer_72"/>
    <x v="1"/>
    <n v="46"/>
    <x v="3"/>
    <x v="1"/>
    <d v="2023-02-04T00:00:00"/>
    <x v="2"/>
    <s v="Product_41"/>
    <x v="2"/>
    <x v="1"/>
    <n v="3358.26"/>
    <n v="4345.1099999999997"/>
    <n v="179"/>
    <n v="5116.07"/>
    <n v="431.84"/>
    <n v="4684.2299999999996"/>
    <n v="2246.4699999999998"/>
    <s v="North"/>
    <n v="26070.659999999996"/>
    <n v="5921.0999999999967"/>
  </r>
  <r>
    <s v="ORD00290"/>
    <x v="146"/>
    <s v="CUST0149"/>
    <s v="PROD0043"/>
    <n v="1"/>
    <x v="0"/>
    <n v="7"/>
    <s v="Customer_149"/>
    <x v="1"/>
    <n v="31"/>
    <x v="1"/>
    <x v="4"/>
    <d v="2022-07-18T00:00:00"/>
    <x v="0"/>
    <s v="Product_43"/>
    <x v="3"/>
    <x v="1"/>
    <n v="4570.75"/>
    <n v="5891.26"/>
    <n v="285"/>
    <n v="1907.33"/>
    <n v="411.18"/>
    <n v="1496.15"/>
    <n v="1927.59"/>
    <s v="North"/>
    <n v="5891.26"/>
    <n v="1320.5100000000002"/>
  </r>
  <r>
    <s v="ORD00291"/>
    <x v="119"/>
    <s v="CUST0002"/>
    <s v="PROD0015"/>
    <n v="3"/>
    <x v="2"/>
    <n v="1"/>
    <s v="Customer_2"/>
    <x v="0"/>
    <n v="50"/>
    <x v="1"/>
    <x v="1"/>
    <d v="2023-02-10T00:00:00"/>
    <x v="0"/>
    <s v="Product_15"/>
    <x v="3"/>
    <x v="3"/>
    <n v="4133.24"/>
    <n v="6302.13"/>
    <n v="299"/>
    <n v="19434.05"/>
    <n v="829.15"/>
    <n v="18604.900000000001"/>
    <n v="645.35"/>
    <s v="South"/>
    <n v="18906.39"/>
    <n v="6506.670000000001"/>
  </r>
  <r>
    <s v="ORD00292"/>
    <x v="206"/>
    <s v="CUST0065"/>
    <s v="PROD0015"/>
    <n v="1"/>
    <x v="2"/>
    <n v="19"/>
    <s v="Customer_65"/>
    <x v="1"/>
    <n v="37"/>
    <x v="1"/>
    <x v="3"/>
    <d v="2022-12-24T00:00:00"/>
    <x v="2"/>
    <s v="Product_15"/>
    <x v="3"/>
    <x v="3"/>
    <n v="4133.24"/>
    <n v="6302.13"/>
    <n v="299"/>
    <n v="8825.5"/>
    <n v="1703.87"/>
    <n v="7121.63"/>
    <n v="4214.92"/>
    <s v="West"/>
    <n v="6302.13"/>
    <n v="2168.8900000000003"/>
  </r>
  <r>
    <s v="ORD00293"/>
    <x v="207"/>
    <s v="CUST0108"/>
    <s v="PROD0059"/>
    <n v="3"/>
    <x v="3"/>
    <n v="16"/>
    <s v="Customer_108"/>
    <x v="0"/>
    <n v="57"/>
    <x v="2"/>
    <x v="1"/>
    <d v="2024-09-10T00:00:00"/>
    <x v="0"/>
    <s v="Product_59"/>
    <x v="1"/>
    <x v="3"/>
    <n v="1492.62"/>
    <n v="2285.1999999999998"/>
    <n v="106"/>
    <n v="19181.62"/>
    <n v="198.22"/>
    <n v="18983.400000000001"/>
    <n v="3115.44"/>
    <s v="East"/>
    <n v="6855.5999999999995"/>
    <n v="2377.7399999999998"/>
  </r>
  <r>
    <s v="ORD00294"/>
    <x v="199"/>
    <s v="CUST0092"/>
    <s v="PROD0037"/>
    <n v="5"/>
    <x v="1"/>
    <n v="0"/>
    <s v="Customer_92"/>
    <x v="1"/>
    <n v="34"/>
    <x v="6"/>
    <x v="1"/>
    <d v="2025-02-10T00:00:00"/>
    <x v="1"/>
    <s v="Product_37"/>
    <x v="2"/>
    <x v="2"/>
    <n v="662.05"/>
    <n v="1019.21"/>
    <n v="49"/>
    <n v="16243.6"/>
    <n v="1703.98"/>
    <n v="14539.62"/>
    <n v="2943.63"/>
    <s v="West"/>
    <n v="5096.05"/>
    <n v="1785.8000000000004"/>
  </r>
  <r>
    <s v="ORD00295"/>
    <x v="208"/>
    <s v="CUST0028"/>
    <s v="PROD0043"/>
    <n v="1"/>
    <x v="3"/>
    <n v="7"/>
    <s v="Customer_28"/>
    <x v="0"/>
    <n v="37"/>
    <x v="2"/>
    <x v="1"/>
    <d v="2023-10-13T00:00:00"/>
    <x v="0"/>
    <s v="Product_43"/>
    <x v="3"/>
    <x v="1"/>
    <n v="4570.75"/>
    <n v="5891.26"/>
    <n v="285"/>
    <n v="14025.68"/>
    <n v="1690.25"/>
    <n v="12335.43"/>
    <n v="3643.37"/>
    <s v="South"/>
    <n v="5891.26"/>
    <n v="1320.5100000000002"/>
  </r>
  <r>
    <s v="ORD00296"/>
    <x v="28"/>
    <s v="CUST0034"/>
    <s v="PROD0036"/>
    <n v="3"/>
    <x v="2"/>
    <n v="9"/>
    <s v="Customer_34"/>
    <x v="0"/>
    <n v="37"/>
    <x v="4"/>
    <x v="1"/>
    <d v="2024-11-04T00:00:00"/>
    <x v="2"/>
    <s v="Product_36"/>
    <x v="3"/>
    <x v="0"/>
    <n v="1637.53"/>
    <n v="1892.5"/>
    <n v="169"/>
    <n v="4206.5600000000004"/>
    <n v="872.49"/>
    <n v="3334.07"/>
    <n v="3221.69"/>
    <s v="South"/>
    <n v="5677.5"/>
    <n v="764.91000000000008"/>
  </r>
  <r>
    <s v="ORD00297"/>
    <x v="209"/>
    <s v="CUST0199"/>
    <s v="PROD0015"/>
    <n v="5"/>
    <x v="0"/>
    <n v="25"/>
    <s v="Customer_199"/>
    <x v="0"/>
    <n v="42"/>
    <x v="6"/>
    <x v="2"/>
    <d v="2022-01-30T00:00:00"/>
    <x v="1"/>
    <s v="Product_15"/>
    <x v="3"/>
    <x v="3"/>
    <n v="4133.24"/>
    <n v="6302.13"/>
    <n v="299"/>
    <n v="14656.11"/>
    <n v="3199.1"/>
    <n v="11457.01"/>
    <n v="197.69"/>
    <s v="West"/>
    <n v="31510.65"/>
    <n v="10844.45"/>
  </r>
  <r>
    <s v="ORD00298"/>
    <x v="8"/>
    <s v="CUST0104"/>
    <s v="PROD0045"/>
    <n v="2"/>
    <x v="0"/>
    <n v="19"/>
    <s v="Customer_104"/>
    <x v="0"/>
    <n v="23"/>
    <x v="4"/>
    <x v="1"/>
    <d v="2023-07-06T00:00:00"/>
    <x v="1"/>
    <s v="Product_45"/>
    <x v="0"/>
    <x v="1"/>
    <n v="926.86"/>
    <n v="1109.73"/>
    <n v="287"/>
    <n v="3576.52"/>
    <n v="891.6"/>
    <n v="2684.92"/>
    <n v="452.1"/>
    <s v="North"/>
    <n v="2219.46"/>
    <n v="365.74"/>
  </r>
  <r>
    <s v="ORD00299"/>
    <x v="210"/>
    <s v="CUST0185"/>
    <s v="PROD0010"/>
    <n v="3"/>
    <x v="2"/>
    <n v="12"/>
    <s v="Customer_185"/>
    <x v="0"/>
    <n v="39"/>
    <x v="6"/>
    <x v="0"/>
    <d v="2025-03-12T00:00:00"/>
    <x v="1"/>
    <s v="Product_10"/>
    <x v="3"/>
    <x v="2"/>
    <n v="830.87"/>
    <n v="1283.0999999999999"/>
    <n v="46"/>
    <n v="9976.9599999999991"/>
    <n v="293.33"/>
    <n v="9683.6299999999992"/>
    <n v="4189.12"/>
    <s v="North"/>
    <n v="3849.2999999999997"/>
    <n v="1356.6899999999996"/>
  </r>
  <r>
    <s v="ORD00300"/>
    <x v="211"/>
    <s v="CUST0108"/>
    <s v="PROD0015"/>
    <n v="5"/>
    <x v="3"/>
    <n v="2"/>
    <s v="Customer_108"/>
    <x v="0"/>
    <n v="57"/>
    <x v="2"/>
    <x v="1"/>
    <d v="2024-09-10T00:00:00"/>
    <x v="0"/>
    <s v="Product_15"/>
    <x v="3"/>
    <x v="3"/>
    <n v="4133.24"/>
    <n v="6302.13"/>
    <n v="299"/>
    <n v="15309.6"/>
    <n v="1848.93"/>
    <n v="13460.67"/>
    <n v="3224.89"/>
    <s v="North"/>
    <n v="31510.65"/>
    <n v="10844.45"/>
  </r>
  <r>
    <s v="ORD00301"/>
    <x v="178"/>
    <s v="CUST0133"/>
    <s v="PROD0040"/>
    <n v="1"/>
    <x v="2"/>
    <n v="1"/>
    <s v="Customer_133"/>
    <x v="1"/>
    <n v="34"/>
    <x v="7"/>
    <x v="5"/>
    <d v="2024-06-16T00:00:00"/>
    <x v="2"/>
    <s v="Product_40"/>
    <x v="1"/>
    <x v="1"/>
    <n v="2345.7800000000002"/>
    <n v="2891.96"/>
    <n v="122"/>
    <n v="17012.509999999998"/>
    <n v="1636.62"/>
    <n v="15375.89"/>
    <n v="144.72999999999999"/>
    <s v="West"/>
    <n v="2891.96"/>
    <n v="546.17999999999984"/>
  </r>
  <r>
    <s v="ORD00302"/>
    <x v="180"/>
    <s v="CUST0217"/>
    <s v="PROD0037"/>
    <n v="2"/>
    <x v="0"/>
    <n v="6"/>
    <s v="Customer_217"/>
    <x v="1"/>
    <n v="46"/>
    <x v="1"/>
    <x v="3"/>
    <d v="2022-04-27T00:00:00"/>
    <x v="0"/>
    <s v="Product_37"/>
    <x v="2"/>
    <x v="2"/>
    <n v="662.05"/>
    <n v="1019.21"/>
    <n v="49"/>
    <n v="15985.31"/>
    <n v="2252.38"/>
    <n v="13732.93"/>
    <n v="345.74"/>
    <s v="West"/>
    <n v="2038.42"/>
    <n v="714.32000000000016"/>
  </r>
  <r>
    <s v="ORD00303"/>
    <x v="212"/>
    <s v="CUST0196"/>
    <s v="PROD0003"/>
    <n v="3"/>
    <x v="2"/>
    <n v="18"/>
    <s v="Customer_196"/>
    <x v="1"/>
    <n v="41"/>
    <x v="7"/>
    <x v="2"/>
    <d v="2022-07-10T00:00:00"/>
    <x v="2"/>
    <s v="Product_3"/>
    <x v="3"/>
    <x v="0"/>
    <n v="952.01"/>
    <n v="1107.5"/>
    <n v="162"/>
    <n v="1033.9000000000001"/>
    <n v="124.89"/>
    <n v="909.01"/>
    <n v="3702.36"/>
    <s v="North"/>
    <n v="3322.5"/>
    <n v="466.47"/>
  </r>
  <r>
    <s v="ORD00304"/>
    <x v="213"/>
    <s v="CUST0209"/>
    <s v="PROD0019"/>
    <n v="1"/>
    <x v="1"/>
    <n v="12"/>
    <s v="Customer_209"/>
    <x v="0"/>
    <n v="37"/>
    <x v="1"/>
    <x v="4"/>
    <d v="2024-10-31T00:00:00"/>
    <x v="1"/>
    <s v="Product_19"/>
    <x v="1"/>
    <x v="2"/>
    <n v="1137.26"/>
    <n v="1649.58"/>
    <n v="243"/>
    <n v="9766.2199999999993"/>
    <n v="165.19"/>
    <n v="9601.0300000000007"/>
    <n v="1823.13"/>
    <s v="West"/>
    <n v="1649.58"/>
    <n v="512.31999999999994"/>
  </r>
  <r>
    <s v="ORD00305"/>
    <x v="214"/>
    <s v="CUST0086"/>
    <s v="PROD0046"/>
    <n v="5"/>
    <x v="2"/>
    <n v="14"/>
    <s v="Customer_86"/>
    <x v="1"/>
    <n v="45"/>
    <x v="7"/>
    <x v="2"/>
    <d v="2024-05-12T00:00:00"/>
    <x v="2"/>
    <s v="Product_46"/>
    <x v="2"/>
    <x v="1"/>
    <n v="2643.84"/>
    <n v="3790.58"/>
    <n v="63"/>
    <n v="8851.43"/>
    <n v="1940.08"/>
    <n v="6911.35"/>
    <n v="1770.28"/>
    <s v="West"/>
    <n v="18952.900000000001"/>
    <n v="5733.6999999999989"/>
  </r>
  <r>
    <s v="ORD00306"/>
    <x v="164"/>
    <s v="CUST0176"/>
    <s v="PROD0050"/>
    <n v="6"/>
    <x v="0"/>
    <n v="5"/>
    <s v="Customer_176"/>
    <x v="0"/>
    <n v="23"/>
    <x v="2"/>
    <x v="3"/>
    <d v="2022-01-15T00:00:00"/>
    <x v="2"/>
    <s v="Product_50"/>
    <x v="0"/>
    <x v="3"/>
    <n v="2100.67"/>
    <n v="3046.71"/>
    <n v="206"/>
    <n v="19196.63"/>
    <n v="212.02"/>
    <n v="18984.61"/>
    <n v="257.77"/>
    <s v="North"/>
    <n v="18280.260000000002"/>
    <n v="5676.24"/>
  </r>
  <r>
    <s v="ORD00307"/>
    <x v="215"/>
    <s v="CUST0190"/>
    <s v="PROD0005"/>
    <n v="2"/>
    <x v="0"/>
    <n v="6"/>
    <s v="Customer_190"/>
    <x v="0"/>
    <n v="34"/>
    <x v="7"/>
    <x v="2"/>
    <d v="2024-03-10T00:00:00"/>
    <x v="2"/>
    <s v="Product_5"/>
    <x v="1"/>
    <x v="1"/>
    <n v="3023.88"/>
    <n v="3903.42"/>
    <n v="217"/>
    <n v="14643.25"/>
    <n v="1289.19"/>
    <n v="13354.06"/>
    <n v="357.52"/>
    <s v="West"/>
    <n v="7806.84"/>
    <n v="1759.08"/>
  </r>
  <r>
    <s v="ORD00308"/>
    <x v="216"/>
    <s v="CUST0065"/>
    <s v="PROD0017"/>
    <n v="5"/>
    <x v="1"/>
    <n v="19"/>
    <s v="Customer_65"/>
    <x v="1"/>
    <n v="37"/>
    <x v="1"/>
    <x v="3"/>
    <d v="2022-12-24T00:00:00"/>
    <x v="2"/>
    <s v="Product_17"/>
    <x v="0"/>
    <x v="1"/>
    <n v="3612.18"/>
    <n v="3996.91"/>
    <n v="92"/>
    <n v="4409.71"/>
    <n v="959.41"/>
    <n v="3450.3"/>
    <n v="1796.92"/>
    <s v="South"/>
    <n v="19984.55"/>
    <n v="1923.65"/>
  </r>
  <r>
    <s v="ORD00309"/>
    <x v="67"/>
    <s v="CUST0097"/>
    <s v="PROD0033"/>
    <n v="4"/>
    <x v="3"/>
    <n v="16"/>
    <s v="Customer_97"/>
    <x v="0"/>
    <n v="46"/>
    <x v="7"/>
    <x v="2"/>
    <d v="2022-07-07T00:00:00"/>
    <x v="1"/>
    <s v="Product_33"/>
    <x v="2"/>
    <x v="1"/>
    <n v="828.79"/>
    <n v="1227.1300000000001"/>
    <n v="228"/>
    <n v="1059.8599999999999"/>
    <n v="180.26"/>
    <n v="879.6"/>
    <n v="3277.89"/>
    <s v="South"/>
    <n v="4908.5200000000004"/>
    <n v="1593.3600000000006"/>
  </r>
  <r>
    <s v="ORD00310"/>
    <x v="36"/>
    <s v="CUST0031"/>
    <s v="PROD0018"/>
    <n v="3"/>
    <x v="1"/>
    <n v="23"/>
    <s v="Customer_31"/>
    <x v="1"/>
    <n v="45"/>
    <x v="4"/>
    <x v="2"/>
    <d v="2023-11-04T00:00:00"/>
    <x v="1"/>
    <s v="Product_18"/>
    <x v="2"/>
    <x v="1"/>
    <n v="1290.44"/>
    <n v="1756.94"/>
    <n v="226"/>
    <n v="10345.219999999999"/>
    <n v="2520.59"/>
    <n v="7824.63"/>
    <n v="374.74"/>
    <s v="North"/>
    <n v="5270.82"/>
    <n v="1399.5"/>
  </r>
  <r>
    <s v="ORD00311"/>
    <x v="217"/>
    <s v="CUST0167"/>
    <s v="PROD0043"/>
    <n v="4"/>
    <x v="1"/>
    <n v="25"/>
    <s v="Customer_167"/>
    <x v="1"/>
    <n v="46"/>
    <x v="6"/>
    <x v="1"/>
    <d v="2023-06-04T00:00:00"/>
    <x v="2"/>
    <s v="Product_43"/>
    <x v="3"/>
    <x v="1"/>
    <n v="4570.75"/>
    <n v="5891.26"/>
    <n v="285"/>
    <n v="4380.0600000000004"/>
    <n v="1055.8499999999999"/>
    <n v="3324.21"/>
    <n v="2293.88"/>
    <s v="East"/>
    <n v="23565.040000000001"/>
    <n v="5282.0400000000009"/>
  </r>
  <r>
    <s v="ORD00312"/>
    <x v="218"/>
    <s v="CUST0111"/>
    <s v="PROD0052"/>
    <n v="4"/>
    <x v="1"/>
    <n v="22"/>
    <s v="Customer_111"/>
    <x v="1"/>
    <n v="27"/>
    <x v="0"/>
    <x v="0"/>
    <d v="2022-03-17T00:00:00"/>
    <x v="0"/>
    <s v="Product_52"/>
    <x v="0"/>
    <x v="2"/>
    <n v="3470.49"/>
    <n v="5407.89"/>
    <n v="141"/>
    <n v="11167.89"/>
    <n v="120.86"/>
    <n v="11047.03"/>
    <n v="3121.19"/>
    <s v="North"/>
    <n v="21631.56"/>
    <n v="7749.6000000000022"/>
  </r>
  <r>
    <s v="ORD00313"/>
    <x v="136"/>
    <s v="CUST0216"/>
    <s v="PROD0017"/>
    <n v="3"/>
    <x v="2"/>
    <n v="2"/>
    <s v="Customer_216"/>
    <x v="1"/>
    <n v="45"/>
    <x v="1"/>
    <x v="0"/>
    <d v="2022-07-24T00:00:00"/>
    <x v="1"/>
    <s v="Product_17"/>
    <x v="0"/>
    <x v="1"/>
    <n v="3612.18"/>
    <n v="3996.91"/>
    <n v="92"/>
    <n v="7618.61"/>
    <n v="1022.62"/>
    <n v="6595.99"/>
    <n v="3021.33"/>
    <s v="East"/>
    <n v="11990.73"/>
    <n v="1154.19"/>
  </r>
  <r>
    <s v="ORD00314"/>
    <x v="38"/>
    <s v="CUST0121"/>
    <s v="PROD0055"/>
    <n v="6"/>
    <x v="1"/>
    <n v="18"/>
    <s v="Customer_121"/>
    <x v="0"/>
    <n v="56"/>
    <x v="0"/>
    <x v="4"/>
    <d v="2022-07-07T00:00:00"/>
    <x v="1"/>
    <s v="Product_55"/>
    <x v="3"/>
    <x v="3"/>
    <n v="4836.3999999999996"/>
    <n v="7004.05"/>
    <n v="98"/>
    <n v="12876.97"/>
    <n v="1924.74"/>
    <n v="10952.23"/>
    <n v="4352.68"/>
    <s v="South"/>
    <n v="42024.3"/>
    <n v="13005.900000000003"/>
  </r>
  <r>
    <s v="ORD00315"/>
    <x v="101"/>
    <s v="CUST0021"/>
    <s v="PROD0042"/>
    <n v="2"/>
    <x v="0"/>
    <n v="0"/>
    <s v="Customer_21"/>
    <x v="0"/>
    <n v="47"/>
    <x v="7"/>
    <x v="5"/>
    <d v="2023-01-06T00:00:00"/>
    <x v="0"/>
    <s v="Product_42"/>
    <x v="1"/>
    <x v="3"/>
    <n v="1858.72"/>
    <n v="2175.88"/>
    <n v="272"/>
    <n v="13002.92"/>
    <n v="111.6"/>
    <n v="12891.32"/>
    <n v="1740.42"/>
    <s v="South"/>
    <n v="4351.76"/>
    <n v="634.32000000000016"/>
  </r>
  <r>
    <s v="ORD00316"/>
    <x v="77"/>
    <s v="CUST0204"/>
    <s v="PROD0006"/>
    <n v="6"/>
    <x v="3"/>
    <n v="18"/>
    <s v="Customer_204"/>
    <x v="0"/>
    <n v="37"/>
    <x v="4"/>
    <x v="2"/>
    <d v="2024-05-24T00:00:00"/>
    <x v="0"/>
    <s v="Product_6"/>
    <x v="1"/>
    <x v="1"/>
    <n v="2025.88"/>
    <n v="2513.29"/>
    <n v="67"/>
    <n v="3862.23"/>
    <n v="182.85"/>
    <n v="3679.38"/>
    <n v="1608.96"/>
    <s v="South"/>
    <n v="15079.74"/>
    <n v="2924.4599999999991"/>
  </r>
  <r>
    <s v="ORD00317"/>
    <x v="58"/>
    <s v="CUST0007"/>
    <s v="PROD0003"/>
    <n v="4"/>
    <x v="3"/>
    <n v="0"/>
    <s v="Customer_7"/>
    <x v="1"/>
    <n v="25"/>
    <x v="2"/>
    <x v="4"/>
    <d v="2022-07-14T00:00:00"/>
    <x v="2"/>
    <s v="Product_3"/>
    <x v="3"/>
    <x v="0"/>
    <n v="952.01"/>
    <n v="1107.5"/>
    <n v="162"/>
    <n v="15653.77"/>
    <n v="124.69"/>
    <n v="15529.08"/>
    <n v="4141.01"/>
    <s v="North"/>
    <n v="4430"/>
    <n v="621.96"/>
  </r>
  <r>
    <s v="ORD00318"/>
    <x v="58"/>
    <s v="CUST0034"/>
    <s v="PROD0059"/>
    <n v="4"/>
    <x v="0"/>
    <n v="6"/>
    <s v="Customer_34"/>
    <x v="0"/>
    <n v="37"/>
    <x v="4"/>
    <x v="1"/>
    <d v="2024-11-04T00:00:00"/>
    <x v="2"/>
    <s v="Product_59"/>
    <x v="1"/>
    <x v="3"/>
    <n v="1492.62"/>
    <n v="2285.1999999999998"/>
    <n v="106"/>
    <n v="4146.16"/>
    <n v="997.15"/>
    <n v="3149.01"/>
    <n v="945.79"/>
    <s v="East"/>
    <n v="9140.7999999999993"/>
    <n v="3170.3199999999997"/>
  </r>
  <r>
    <s v="ORD00319"/>
    <x v="202"/>
    <s v="CUST0131"/>
    <s v="PROD0021"/>
    <n v="2"/>
    <x v="1"/>
    <n v="4"/>
    <s v="Customer_131"/>
    <x v="0"/>
    <n v="60"/>
    <x v="2"/>
    <x v="4"/>
    <d v="2022-07-11T00:00:00"/>
    <x v="0"/>
    <s v="Product_21"/>
    <x v="3"/>
    <x v="3"/>
    <n v="2359.8000000000002"/>
    <n v="2910.71"/>
    <n v="211"/>
    <n v="10672.13"/>
    <n v="139.54"/>
    <n v="10532.59"/>
    <n v="4800.46"/>
    <s v="North"/>
    <n v="5821.42"/>
    <n v="1101.8199999999997"/>
  </r>
  <r>
    <s v="ORD00320"/>
    <x v="218"/>
    <s v="CUST0220"/>
    <s v="PROD0018"/>
    <n v="1"/>
    <x v="3"/>
    <n v="11"/>
    <s v="Customer_220"/>
    <x v="1"/>
    <n v="39"/>
    <x v="3"/>
    <x v="1"/>
    <d v="2024-04-20T00:00:00"/>
    <x v="1"/>
    <s v="Product_18"/>
    <x v="2"/>
    <x v="1"/>
    <n v="1290.44"/>
    <n v="1756.94"/>
    <n v="226"/>
    <n v="17624.150000000001"/>
    <n v="1338"/>
    <n v="16286.15"/>
    <n v="4073.62"/>
    <s v="East"/>
    <n v="1756.94"/>
    <n v="466.5"/>
  </r>
  <r>
    <s v="ORD00321"/>
    <x v="219"/>
    <s v="CUST0186"/>
    <s v="PROD0025"/>
    <n v="5"/>
    <x v="1"/>
    <n v="3"/>
    <s v="Customer_186"/>
    <x v="0"/>
    <n v="37"/>
    <x v="7"/>
    <x v="0"/>
    <d v="2024-01-17T00:00:00"/>
    <x v="0"/>
    <s v="Product_25"/>
    <x v="2"/>
    <x v="1"/>
    <n v="4398.43"/>
    <n v="6683.28"/>
    <n v="152"/>
    <n v="11121.23"/>
    <n v="343.36"/>
    <n v="10777.87"/>
    <n v="4268.0200000000004"/>
    <s v="East"/>
    <n v="33416.400000000001"/>
    <n v="11424.249999999996"/>
  </r>
  <r>
    <s v="ORD00322"/>
    <x v="220"/>
    <s v="CUST0108"/>
    <s v="PROD0040"/>
    <n v="2"/>
    <x v="1"/>
    <n v="5"/>
    <s v="Customer_108"/>
    <x v="0"/>
    <n v="57"/>
    <x v="2"/>
    <x v="1"/>
    <d v="2024-09-10T00:00:00"/>
    <x v="0"/>
    <s v="Product_40"/>
    <x v="1"/>
    <x v="1"/>
    <n v="2345.7800000000002"/>
    <n v="2891.96"/>
    <n v="122"/>
    <n v="1922.98"/>
    <n v="271.98"/>
    <n v="1651"/>
    <n v="3563.74"/>
    <s v="North"/>
    <n v="5783.92"/>
    <n v="1092.3599999999997"/>
  </r>
  <r>
    <s v="ORD00323"/>
    <x v="74"/>
    <s v="CUST0103"/>
    <s v="PROD0014"/>
    <n v="6"/>
    <x v="3"/>
    <n v="22"/>
    <s v="Customer_103"/>
    <x v="0"/>
    <n v="23"/>
    <x v="6"/>
    <x v="4"/>
    <d v="2024-10-30T00:00:00"/>
    <x v="0"/>
    <s v="Product_14"/>
    <x v="1"/>
    <x v="3"/>
    <n v="4301.32"/>
    <n v="6870.07"/>
    <n v="243"/>
    <n v="11160.4"/>
    <n v="912.36"/>
    <n v="10248.040000000001"/>
    <n v="640.36"/>
    <s v="West"/>
    <n v="41220.42"/>
    <n v="15412.5"/>
  </r>
  <r>
    <s v="ORD00324"/>
    <x v="221"/>
    <s v="CUST0157"/>
    <s v="PROD0046"/>
    <n v="2"/>
    <x v="0"/>
    <n v="15"/>
    <s v="Customer_157"/>
    <x v="0"/>
    <n v="37"/>
    <x v="5"/>
    <x v="0"/>
    <d v="2024-05-07T00:00:00"/>
    <x v="0"/>
    <s v="Product_46"/>
    <x v="2"/>
    <x v="1"/>
    <n v="2643.84"/>
    <n v="3790.58"/>
    <n v="63"/>
    <n v="17985.63"/>
    <n v="531.35"/>
    <n v="17454.28"/>
    <n v="3927.24"/>
    <s v="North"/>
    <n v="7581.16"/>
    <n v="2293.4799999999996"/>
  </r>
  <r>
    <s v="ORD00325"/>
    <x v="78"/>
    <s v="CUST0203"/>
    <s v="PROD0042"/>
    <n v="2"/>
    <x v="1"/>
    <n v="25"/>
    <s v="Customer_203"/>
    <x v="0"/>
    <n v="45"/>
    <x v="1"/>
    <x v="1"/>
    <d v="2024-08-29T00:00:00"/>
    <x v="0"/>
    <s v="Product_42"/>
    <x v="1"/>
    <x v="3"/>
    <n v="1858.72"/>
    <n v="2175.88"/>
    <n v="272"/>
    <n v="8249.9599999999991"/>
    <n v="95.35"/>
    <n v="8154.61"/>
    <n v="4619.91"/>
    <s v="South"/>
    <n v="4351.76"/>
    <n v="634.32000000000016"/>
  </r>
  <r>
    <s v="ORD00326"/>
    <x v="205"/>
    <s v="CUST0185"/>
    <s v="PROD0003"/>
    <n v="1"/>
    <x v="1"/>
    <n v="0"/>
    <s v="Customer_185"/>
    <x v="0"/>
    <n v="39"/>
    <x v="6"/>
    <x v="0"/>
    <d v="2025-03-12T00:00:00"/>
    <x v="1"/>
    <s v="Product_3"/>
    <x v="3"/>
    <x v="0"/>
    <n v="952.01"/>
    <n v="1107.5"/>
    <n v="162"/>
    <n v="9696.58"/>
    <n v="1664.82"/>
    <n v="8031.76"/>
    <n v="4695.03"/>
    <s v="North"/>
    <n v="1107.5"/>
    <n v="155.49"/>
  </r>
  <r>
    <s v="ORD00327"/>
    <x v="88"/>
    <s v="CUST0130"/>
    <s v="PROD0009"/>
    <n v="6"/>
    <x v="2"/>
    <n v="18"/>
    <s v="Customer_130"/>
    <x v="0"/>
    <n v="34"/>
    <x v="0"/>
    <x v="4"/>
    <d v="2023-01-16T00:00:00"/>
    <x v="2"/>
    <s v="Product_9"/>
    <x v="2"/>
    <x v="3"/>
    <n v="1267.6600000000001"/>
    <n v="1481.07"/>
    <n v="99"/>
    <n v="659.37"/>
    <n v="90.42"/>
    <n v="568.95000000000005"/>
    <n v="278.27999999999997"/>
    <s v="South"/>
    <n v="8886.42"/>
    <n v="1280.4599999999991"/>
  </r>
  <r>
    <s v="ORD00328"/>
    <x v="40"/>
    <s v="CUST0190"/>
    <s v="PROD0045"/>
    <n v="6"/>
    <x v="1"/>
    <n v="12"/>
    <s v="Customer_190"/>
    <x v="0"/>
    <n v="34"/>
    <x v="7"/>
    <x v="2"/>
    <d v="2024-03-10T00:00:00"/>
    <x v="2"/>
    <s v="Product_45"/>
    <x v="0"/>
    <x v="1"/>
    <n v="926.86"/>
    <n v="1109.73"/>
    <n v="287"/>
    <n v="4435.8100000000004"/>
    <n v="43.3"/>
    <n v="4392.51"/>
    <n v="2429.06"/>
    <s v="East"/>
    <n v="6658.38"/>
    <n v="1097.22"/>
  </r>
  <r>
    <s v="ORD00329"/>
    <x v="50"/>
    <s v="CUST0197"/>
    <s v="PROD0016"/>
    <n v="1"/>
    <x v="0"/>
    <n v="9"/>
    <s v="Customer_197"/>
    <x v="0"/>
    <n v="54"/>
    <x v="5"/>
    <x v="1"/>
    <d v="2024-11-12T00:00:00"/>
    <x v="1"/>
    <s v="Product_16"/>
    <x v="3"/>
    <x v="1"/>
    <n v="4581.92"/>
    <n v="5789.36"/>
    <n v="140"/>
    <n v="5304.77"/>
    <n v="1245.3900000000001"/>
    <n v="4059.38"/>
    <n v="3136.9"/>
    <s v="North"/>
    <n v="5789.36"/>
    <n v="1207.4399999999996"/>
  </r>
  <r>
    <s v="ORD00330"/>
    <x v="153"/>
    <s v="CUST0161"/>
    <s v="PROD0045"/>
    <n v="2"/>
    <x v="0"/>
    <n v="0"/>
    <s v="Customer_161"/>
    <x v="1"/>
    <n v="21"/>
    <x v="6"/>
    <x v="4"/>
    <d v="2024-07-24T00:00:00"/>
    <x v="0"/>
    <s v="Product_45"/>
    <x v="0"/>
    <x v="1"/>
    <n v="926.86"/>
    <n v="1109.73"/>
    <n v="287"/>
    <n v="9708.01"/>
    <n v="2120"/>
    <n v="7588.01"/>
    <n v="4273.95"/>
    <s v="East"/>
    <n v="2219.46"/>
    <n v="365.74"/>
  </r>
  <r>
    <s v="ORD00331"/>
    <x v="222"/>
    <s v="CUST0185"/>
    <s v="PROD0052"/>
    <n v="3"/>
    <x v="0"/>
    <n v="9"/>
    <s v="Customer_185"/>
    <x v="0"/>
    <n v="39"/>
    <x v="6"/>
    <x v="0"/>
    <d v="2025-03-12T00:00:00"/>
    <x v="1"/>
    <s v="Product_52"/>
    <x v="0"/>
    <x v="2"/>
    <n v="3470.49"/>
    <n v="5407.89"/>
    <n v="141"/>
    <n v="5288.6"/>
    <n v="153.63999999999999"/>
    <n v="5134.96"/>
    <n v="3027.14"/>
    <s v="East"/>
    <n v="16223.670000000002"/>
    <n v="5812.2000000000016"/>
  </r>
  <r>
    <s v="ORD00332"/>
    <x v="203"/>
    <s v="CUST0021"/>
    <s v="PROD0037"/>
    <n v="4"/>
    <x v="0"/>
    <n v="16"/>
    <s v="Customer_21"/>
    <x v="0"/>
    <n v="47"/>
    <x v="7"/>
    <x v="5"/>
    <d v="2023-01-06T00:00:00"/>
    <x v="0"/>
    <s v="Product_37"/>
    <x v="2"/>
    <x v="2"/>
    <n v="662.05"/>
    <n v="1019.21"/>
    <n v="49"/>
    <n v="1527.42"/>
    <n v="287.79000000000002"/>
    <n v="1239.6300000000001"/>
    <n v="3166.86"/>
    <s v="South"/>
    <n v="4076.84"/>
    <n v="1428.6400000000003"/>
  </r>
  <r>
    <s v="ORD00333"/>
    <x v="81"/>
    <s v="CUST0089"/>
    <s v="PROD0013"/>
    <n v="6"/>
    <x v="1"/>
    <n v="7"/>
    <s v="Customer_89"/>
    <x v="0"/>
    <n v="44"/>
    <x v="5"/>
    <x v="4"/>
    <d v="2022-12-23T00:00:00"/>
    <x v="0"/>
    <s v="Product_13"/>
    <x v="1"/>
    <x v="3"/>
    <n v="3957.37"/>
    <n v="5045.3500000000004"/>
    <n v="227"/>
    <n v="14273.31"/>
    <n v="2154.94"/>
    <n v="12118.37"/>
    <n v="3543.4"/>
    <s v="West"/>
    <n v="30272.100000000002"/>
    <n v="6527.8800000000028"/>
  </r>
  <r>
    <s v="ORD00334"/>
    <x v="18"/>
    <s v="CUST0089"/>
    <s v="PROD0004"/>
    <n v="3"/>
    <x v="1"/>
    <n v="7"/>
    <s v="Customer_89"/>
    <x v="0"/>
    <n v="44"/>
    <x v="5"/>
    <x v="4"/>
    <d v="2022-12-23T00:00:00"/>
    <x v="0"/>
    <s v="Product_4"/>
    <x v="0"/>
    <x v="0"/>
    <n v="4318.8599999999997"/>
    <n v="4880.6400000000003"/>
    <n v="149"/>
    <n v="14287.98"/>
    <n v="918.91"/>
    <n v="13369.07"/>
    <n v="2451.73"/>
    <s v="South"/>
    <n v="14641.920000000002"/>
    <n v="1685.340000000002"/>
  </r>
  <r>
    <s v="ORD00335"/>
    <x v="60"/>
    <s v="CUST0030"/>
    <s v="PROD0048"/>
    <n v="5"/>
    <x v="1"/>
    <n v="19"/>
    <s v="Customer_30"/>
    <x v="1"/>
    <n v="38"/>
    <x v="4"/>
    <x v="4"/>
    <d v="2022-04-26T00:00:00"/>
    <x v="0"/>
    <s v="Product_48"/>
    <x v="2"/>
    <x v="0"/>
    <n v="4225.4799999999996"/>
    <n v="6100.15"/>
    <n v="279"/>
    <n v="4988.6000000000004"/>
    <n v="982"/>
    <n v="4006.6"/>
    <n v="4987.42"/>
    <s v="North"/>
    <n v="30500.75"/>
    <n v="9373.35"/>
  </r>
  <r>
    <s v="ORD00336"/>
    <x v="93"/>
    <s v="CUST0069"/>
    <s v="PROD0043"/>
    <n v="3"/>
    <x v="2"/>
    <n v="25"/>
    <s v="Customer_69"/>
    <x v="0"/>
    <n v="24"/>
    <x v="0"/>
    <x v="4"/>
    <d v="2023-04-10T00:00:00"/>
    <x v="2"/>
    <s v="Product_43"/>
    <x v="3"/>
    <x v="1"/>
    <n v="4570.75"/>
    <n v="5891.26"/>
    <n v="285"/>
    <n v="12081.7"/>
    <n v="669.65"/>
    <n v="11412.05"/>
    <n v="1704.05"/>
    <s v="North"/>
    <n v="17673.78"/>
    <n v="3961.5300000000007"/>
  </r>
  <r>
    <s v="ORD00337"/>
    <x v="223"/>
    <s v="CUST0134"/>
    <s v="PROD0026"/>
    <n v="5"/>
    <x v="3"/>
    <n v="5"/>
    <s v="Customer_134"/>
    <x v="1"/>
    <n v="30"/>
    <x v="5"/>
    <x v="5"/>
    <d v="2022-10-01T00:00:00"/>
    <x v="2"/>
    <s v="Product_26"/>
    <x v="0"/>
    <x v="1"/>
    <n v="1612.7"/>
    <n v="1932.63"/>
    <n v="278"/>
    <n v="18031.25"/>
    <n v="1282.8800000000001"/>
    <n v="16748.37"/>
    <n v="3335.24"/>
    <s v="North"/>
    <n v="9663.1500000000015"/>
    <n v="1599.6500000000003"/>
  </r>
  <r>
    <s v="ORD00338"/>
    <x v="206"/>
    <s v="CUST0178"/>
    <s v="PROD0050"/>
    <n v="3"/>
    <x v="0"/>
    <n v="15"/>
    <s v="Customer_178"/>
    <x v="1"/>
    <n v="52"/>
    <x v="0"/>
    <x v="1"/>
    <d v="2023-08-25T00:00:00"/>
    <x v="2"/>
    <s v="Product_50"/>
    <x v="0"/>
    <x v="3"/>
    <n v="2100.67"/>
    <n v="3046.71"/>
    <n v="206"/>
    <n v="19033.990000000002"/>
    <n v="2187.27"/>
    <n v="16846.72"/>
    <n v="3690.15"/>
    <s v="North"/>
    <n v="9140.130000000001"/>
    <n v="2838.12"/>
  </r>
  <r>
    <s v="ORD00339"/>
    <x v="141"/>
    <s v="CUST0158"/>
    <s v="PROD0049"/>
    <n v="4"/>
    <x v="3"/>
    <n v="12"/>
    <s v="Customer_158"/>
    <x v="0"/>
    <n v="53"/>
    <x v="6"/>
    <x v="4"/>
    <d v="2025-03-29T00:00:00"/>
    <x v="2"/>
    <s v="Product_49"/>
    <x v="0"/>
    <x v="2"/>
    <n v="4793.34"/>
    <n v="7058.65"/>
    <n v="107"/>
    <n v="8407.75"/>
    <n v="1601.33"/>
    <n v="6806.42"/>
    <n v="4174.2299999999996"/>
    <s v="East"/>
    <n v="28234.6"/>
    <n v="9061.239999999998"/>
  </r>
  <r>
    <s v="ORD00340"/>
    <x v="224"/>
    <s v="CUST0188"/>
    <s v="PROD0025"/>
    <n v="6"/>
    <x v="0"/>
    <n v="20"/>
    <s v="Customer_188"/>
    <x v="1"/>
    <n v="46"/>
    <x v="0"/>
    <x v="2"/>
    <d v="2022-02-06T00:00:00"/>
    <x v="0"/>
    <s v="Product_25"/>
    <x v="2"/>
    <x v="1"/>
    <n v="4398.43"/>
    <n v="6683.28"/>
    <n v="152"/>
    <n v="2852.42"/>
    <n v="527.57000000000005"/>
    <n v="2324.85"/>
    <n v="542.48"/>
    <s v="West"/>
    <n v="40099.68"/>
    <n v="13709.099999999997"/>
  </r>
  <r>
    <s v="ORD00341"/>
    <x v="225"/>
    <s v="CUST0055"/>
    <s v="PROD0008"/>
    <n v="5"/>
    <x v="1"/>
    <n v="19"/>
    <s v="Customer_55"/>
    <x v="0"/>
    <n v="42"/>
    <x v="7"/>
    <x v="3"/>
    <d v="2022-11-15T00:00:00"/>
    <x v="2"/>
    <s v="Product_8"/>
    <x v="1"/>
    <x v="1"/>
    <n v="2961.83"/>
    <n v="4189.8100000000004"/>
    <n v="165"/>
    <n v="11669.48"/>
    <n v="2187.85"/>
    <n v="9481.6299999999992"/>
    <n v="685.4"/>
    <s v="West"/>
    <n v="20949.050000000003"/>
    <n v="6139.9000000000024"/>
  </r>
  <r>
    <s v="ORD00342"/>
    <x v="103"/>
    <s v="CUST0009"/>
    <s v="PROD0040"/>
    <n v="2"/>
    <x v="1"/>
    <n v="12"/>
    <s v="Customer_9"/>
    <x v="1"/>
    <n v="37"/>
    <x v="3"/>
    <x v="2"/>
    <d v="2023-12-10T00:00:00"/>
    <x v="1"/>
    <s v="Product_40"/>
    <x v="1"/>
    <x v="1"/>
    <n v="2345.7800000000002"/>
    <n v="2891.96"/>
    <n v="122"/>
    <n v="9949.48"/>
    <n v="926.02"/>
    <n v="9023.4599999999991"/>
    <n v="2908.58"/>
    <s v="North"/>
    <n v="5783.92"/>
    <n v="1092.3599999999997"/>
  </r>
  <r>
    <s v="ORD00343"/>
    <x v="153"/>
    <s v="CUST0084"/>
    <s v="PROD0056"/>
    <n v="3"/>
    <x v="1"/>
    <n v="5"/>
    <s v="Customer_84"/>
    <x v="1"/>
    <n v="33"/>
    <x v="0"/>
    <x v="5"/>
    <d v="2024-09-11T00:00:00"/>
    <x v="2"/>
    <s v="Product_56"/>
    <x v="3"/>
    <x v="1"/>
    <n v="929.24"/>
    <n v="1350.29"/>
    <n v="22"/>
    <n v="18351.62"/>
    <n v="1836.49"/>
    <n v="16515.13"/>
    <n v="4493.24"/>
    <s v="West"/>
    <n v="4050.87"/>
    <n v="1263.1499999999999"/>
  </r>
  <r>
    <s v="ORD00344"/>
    <x v="226"/>
    <s v="CUST0146"/>
    <s v="PROD0030"/>
    <n v="2"/>
    <x v="3"/>
    <n v="18"/>
    <s v="Customer_146"/>
    <x v="0"/>
    <n v="36"/>
    <x v="4"/>
    <x v="3"/>
    <d v="2022-12-05T00:00:00"/>
    <x v="2"/>
    <s v="Product_30"/>
    <x v="1"/>
    <x v="3"/>
    <n v="3959.29"/>
    <n v="5340.73"/>
    <n v="91"/>
    <n v="16645.78"/>
    <n v="2041.76"/>
    <n v="14604.02"/>
    <n v="630.54"/>
    <s v="West"/>
    <n v="10681.46"/>
    <n v="2762.8799999999992"/>
  </r>
  <r>
    <s v="ORD00345"/>
    <x v="216"/>
    <s v="CUST0213"/>
    <s v="PROD0013"/>
    <n v="4"/>
    <x v="0"/>
    <n v="3"/>
    <s v="Customer_213"/>
    <x v="1"/>
    <n v="43"/>
    <x v="7"/>
    <x v="1"/>
    <d v="2023-12-12T00:00:00"/>
    <x v="0"/>
    <s v="Product_13"/>
    <x v="1"/>
    <x v="3"/>
    <n v="3957.37"/>
    <n v="5045.3500000000004"/>
    <n v="227"/>
    <n v="17123.98"/>
    <n v="3027.16"/>
    <n v="14096.82"/>
    <n v="4303.63"/>
    <s v="North"/>
    <n v="20181.400000000001"/>
    <n v="4351.9200000000019"/>
  </r>
  <r>
    <s v="ORD00346"/>
    <x v="195"/>
    <s v="CUST0041"/>
    <s v="PROD0059"/>
    <n v="1"/>
    <x v="3"/>
    <n v="19"/>
    <s v="Customer_41"/>
    <x v="0"/>
    <n v="23"/>
    <x v="1"/>
    <x v="0"/>
    <d v="2023-10-15T00:00:00"/>
    <x v="2"/>
    <s v="Product_59"/>
    <x v="1"/>
    <x v="3"/>
    <n v="1492.62"/>
    <n v="2285.1999999999998"/>
    <n v="106"/>
    <n v="2146.3200000000002"/>
    <n v="327.04000000000002"/>
    <n v="1819.28"/>
    <n v="2513.0700000000002"/>
    <s v="East"/>
    <n v="2285.1999999999998"/>
    <n v="792.57999999999993"/>
  </r>
  <r>
    <s v="ORD00347"/>
    <x v="12"/>
    <s v="CUST0042"/>
    <s v="PROD0016"/>
    <n v="6"/>
    <x v="0"/>
    <n v="10"/>
    <s v="Customer_42"/>
    <x v="0"/>
    <n v="42"/>
    <x v="0"/>
    <x v="4"/>
    <d v="2022-10-27T00:00:00"/>
    <x v="1"/>
    <s v="Product_16"/>
    <x v="3"/>
    <x v="1"/>
    <n v="4581.92"/>
    <n v="5789.36"/>
    <n v="140"/>
    <n v="8734.9"/>
    <n v="486.83"/>
    <n v="8248.07"/>
    <n v="4163.6000000000004"/>
    <s v="East"/>
    <n v="34736.159999999996"/>
    <n v="7244.6399999999976"/>
  </r>
  <r>
    <s v="ORD00348"/>
    <x v="205"/>
    <s v="CUST0117"/>
    <s v="PROD0058"/>
    <n v="4"/>
    <x v="1"/>
    <n v="22"/>
    <s v="Customer_117"/>
    <x v="1"/>
    <n v="28"/>
    <x v="1"/>
    <x v="1"/>
    <d v="2023-03-12T00:00:00"/>
    <x v="0"/>
    <s v="Product_58"/>
    <x v="1"/>
    <x v="1"/>
    <n v="1480.33"/>
    <n v="1709.3"/>
    <n v="229"/>
    <n v="17317.13"/>
    <n v="3091.78"/>
    <n v="14225.35"/>
    <n v="434.69"/>
    <s v="North"/>
    <n v="6837.2"/>
    <n v="915.88000000000011"/>
  </r>
  <r>
    <s v="ORD00349"/>
    <x v="148"/>
    <s v="CUST0112"/>
    <s v="PROD0018"/>
    <n v="4"/>
    <x v="1"/>
    <n v="0"/>
    <s v="Customer_112"/>
    <x v="1"/>
    <n v="38"/>
    <x v="3"/>
    <x v="2"/>
    <d v="2022-04-09T00:00:00"/>
    <x v="0"/>
    <s v="Product_18"/>
    <x v="2"/>
    <x v="1"/>
    <n v="1290.44"/>
    <n v="1756.94"/>
    <n v="226"/>
    <n v="17772.16"/>
    <n v="3704.08"/>
    <n v="14068.08"/>
    <n v="2405.35"/>
    <s v="East"/>
    <n v="7027.76"/>
    <n v="1866"/>
  </r>
  <r>
    <s v="ORD00350"/>
    <x v="227"/>
    <s v="CUST0051"/>
    <s v="PROD0049"/>
    <n v="4"/>
    <x v="3"/>
    <n v="1"/>
    <s v="Customer_51"/>
    <x v="0"/>
    <n v="41"/>
    <x v="6"/>
    <x v="2"/>
    <d v="2024-08-10T00:00:00"/>
    <x v="2"/>
    <s v="Product_49"/>
    <x v="0"/>
    <x v="2"/>
    <n v="4793.34"/>
    <n v="7058.65"/>
    <n v="107"/>
    <n v="1455.57"/>
    <n v="276.3"/>
    <n v="1179.27"/>
    <n v="4992.03"/>
    <s v="South"/>
    <n v="28234.6"/>
    <n v="9061.239999999998"/>
  </r>
  <r>
    <s v="ORD00351"/>
    <x v="13"/>
    <s v="CUST0187"/>
    <s v="PROD0003"/>
    <n v="5"/>
    <x v="3"/>
    <n v="9"/>
    <s v="Customer_187"/>
    <x v="0"/>
    <n v="47"/>
    <x v="7"/>
    <x v="5"/>
    <d v="2024-05-05T00:00:00"/>
    <x v="1"/>
    <s v="Product_3"/>
    <x v="3"/>
    <x v="0"/>
    <n v="952.01"/>
    <n v="1107.5"/>
    <n v="162"/>
    <n v="731.39"/>
    <n v="5.52"/>
    <n v="725.87"/>
    <n v="443.75"/>
    <s v="South"/>
    <n v="5537.5"/>
    <n v="777.45"/>
  </r>
  <r>
    <s v="ORD00352"/>
    <x v="228"/>
    <s v="CUST0186"/>
    <s v="PROD0018"/>
    <n v="3"/>
    <x v="1"/>
    <n v="16"/>
    <s v="Customer_186"/>
    <x v="0"/>
    <n v="37"/>
    <x v="7"/>
    <x v="0"/>
    <d v="2024-01-17T00:00:00"/>
    <x v="0"/>
    <s v="Product_18"/>
    <x v="2"/>
    <x v="1"/>
    <n v="1290.44"/>
    <n v="1756.94"/>
    <n v="226"/>
    <n v="948.11"/>
    <n v="195.9"/>
    <n v="752.21"/>
    <n v="1226.99"/>
    <s v="West"/>
    <n v="5270.82"/>
    <n v="1399.5"/>
  </r>
  <r>
    <s v="ORD00353"/>
    <x v="229"/>
    <s v="CUST0205"/>
    <s v="PROD0039"/>
    <n v="5"/>
    <x v="2"/>
    <n v="21"/>
    <s v="Customer_205"/>
    <x v="0"/>
    <n v="58"/>
    <x v="5"/>
    <x v="1"/>
    <d v="2022-03-20T00:00:00"/>
    <x v="1"/>
    <s v="Product_39"/>
    <x v="0"/>
    <x v="2"/>
    <n v="3696.72"/>
    <n v="4397.13"/>
    <n v="92"/>
    <n v="14365.14"/>
    <n v="1990.1"/>
    <n v="12375.04"/>
    <n v="3903.56"/>
    <s v="East"/>
    <n v="21985.65"/>
    <n v="3502.0500000000015"/>
  </r>
  <r>
    <s v="ORD00354"/>
    <x v="152"/>
    <s v="CUST0144"/>
    <s v="PROD0002"/>
    <n v="6"/>
    <x v="3"/>
    <n v="23"/>
    <s v="Customer_144"/>
    <x v="1"/>
    <n v="60"/>
    <x v="2"/>
    <x v="1"/>
    <d v="2023-04-01T00:00:00"/>
    <x v="2"/>
    <s v="Product_2"/>
    <x v="0"/>
    <x v="0"/>
    <n v="3231.26"/>
    <n v="4308.05"/>
    <n v="21"/>
    <n v="5104.28"/>
    <n v="1086.47"/>
    <n v="4017.81"/>
    <n v="3337.91"/>
    <s v="South"/>
    <n v="25848.300000000003"/>
    <n v="6460.74"/>
  </r>
  <r>
    <s v="ORD00355"/>
    <x v="36"/>
    <s v="CUST0196"/>
    <s v="PROD0059"/>
    <n v="6"/>
    <x v="3"/>
    <n v="12"/>
    <s v="Customer_196"/>
    <x v="1"/>
    <n v="41"/>
    <x v="7"/>
    <x v="2"/>
    <d v="2022-07-10T00:00:00"/>
    <x v="2"/>
    <s v="Product_59"/>
    <x v="1"/>
    <x v="3"/>
    <n v="1492.62"/>
    <n v="2285.1999999999998"/>
    <n v="106"/>
    <n v="16648.28"/>
    <n v="3366.93"/>
    <n v="13281.35"/>
    <n v="4039.8"/>
    <s v="North"/>
    <n v="13711.199999999999"/>
    <n v="4755.4799999999996"/>
  </r>
  <r>
    <s v="ORD00356"/>
    <x v="219"/>
    <s v="CUST0187"/>
    <s v="PROD0018"/>
    <n v="1"/>
    <x v="3"/>
    <n v="12"/>
    <s v="Customer_187"/>
    <x v="0"/>
    <n v="47"/>
    <x v="7"/>
    <x v="5"/>
    <d v="2024-05-05T00:00:00"/>
    <x v="1"/>
    <s v="Product_18"/>
    <x v="2"/>
    <x v="1"/>
    <n v="1290.44"/>
    <n v="1756.94"/>
    <n v="226"/>
    <n v="18450.18"/>
    <n v="2088.39"/>
    <n v="16361.79"/>
    <n v="2667.61"/>
    <s v="North"/>
    <n v="1756.94"/>
    <n v="466.5"/>
  </r>
  <r>
    <s v="ORD00357"/>
    <x v="230"/>
    <s v="CUST0051"/>
    <s v="PROD0038"/>
    <n v="4"/>
    <x v="1"/>
    <n v="22"/>
    <s v="Customer_51"/>
    <x v="0"/>
    <n v="41"/>
    <x v="6"/>
    <x v="2"/>
    <d v="2024-08-10T00:00:00"/>
    <x v="2"/>
    <s v="Product_38"/>
    <x v="3"/>
    <x v="1"/>
    <n v="2369.11"/>
    <n v="2775.74"/>
    <n v="21"/>
    <n v="18361.88"/>
    <n v="2847.06"/>
    <n v="15514.82"/>
    <n v="349.69"/>
    <s v="South"/>
    <n v="11102.96"/>
    <n v="1626.5199999999986"/>
  </r>
  <r>
    <s v="ORD00358"/>
    <x v="227"/>
    <s v="CUST0030"/>
    <s v="PROD0049"/>
    <n v="1"/>
    <x v="3"/>
    <n v="23"/>
    <s v="Customer_30"/>
    <x v="1"/>
    <n v="38"/>
    <x v="4"/>
    <x v="4"/>
    <d v="2022-04-26T00:00:00"/>
    <x v="0"/>
    <s v="Product_49"/>
    <x v="0"/>
    <x v="2"/>
    <n v="4793.34"/>
    <n v="7058.65"/>
    <n v="107"/>
    <n v="12827.24"/>
    <n v="1470.53"/>
    <n v="11356.71"/>
    <n v="1600.53"/>
    <s v="North"/>
    <n v="7058.65"/>
    <n v="2265.3099999999995"/>
  </r>
  <r>
    <s v="ORD00359"/>
    <x v="231"/>
    <s v="CUST0011"/>
    <s v="PROD0056"/>
    <n v="1"/>
    <x v="2"/>
    <n v="17"/>
    <s v="Customer_11"/>
    <x v="1"/>
    <n v="35"/>
    <x v="3"/>
    <x v="2"/>
    <d v="2023-05-06T00:00:00"/>
    <x v="1"/>
    <s v="Product_56"/>
    <x v="3"/>
    <x v="1"/>
    <n v="929.24"/>
    <n v="1350.29"/>
    <n v="22"/>
    <n v="9833.33"/>
    <n v="861"/>
    <n v="8972.33"/>
    <n v="1543.99"/>
    <s v="North"/>
    <n v="1350.29"/>
    <n v="421.04999999999995"/>
  </r>
  <r>
    <s v="ORD00360"/>
    <x v="72"/>
    <s v="CUST0107"/>
    <s v="PROD0006"/>
    <n v="3"/>
    <x v="1"/>
    <n v="7"/>
    <s v="Customer_107"/>
    <x v="0"/>
    <n v="27"/>
    <x v="1"/>
    <x v="1"/>
    <d v="2023-03-06T00:00:00"/>
    <x v="0"/>
    <s v="Product_6"/>
    <x v="1"/>
    <x v="1"/>
    <n v="2025.88"/>
    <n v="2513.29"/>
    <n v="67"/>
    <n v="5171.6099999999997"/>
    <n v="316.02"/>
    <n v="4855.59"/>
    <n v="4026.96"/>
    <s v="South"/>
    <n v="7539.87"/>
    <n v="1462.2299999999996"/>
  </r>
  <r>
    <s v="ORD00361"/>
    <x v="232"/>
    <s v="CUST0024"/>
    <s v="PROD0049"/>
    <n v="6"/>
    <x v="1"/>
    <n v="2"/>
    <s v="Customer_24"/>
    <x v="0"/>
    <n v="22"/>
    <x v="7"/>
    <x v="5"/>
    <d v="2023-09-21T00:00:00"/>
    <x v="0"/>
    <s v="Product_49"/>
    <x v="0"/>
    <x v="2"/>
    <n v="4793.34"/>
    <n v="7058.65"/>
    <n v="107"/>
    <n v="7759.32"/>
    <n v="1514.28"/>
    <n v="6245.04"/>
    <n v="712.79"/>
    <s v="North"/>
    <n v="42351.899999999994"/>
    <n v="13591.859999999997"/>
  </r>
  <r>
    <s v="ORD00362"/>
    <x v="14"/>
    <s v="CUST0161"/>
    <s v="PROD0048"/>
    <n v="4"/>
    <x v="2"/>
    <n v="24"/>
    <s v="Customer_161"/>
    <x v="1"/>
    <n v="21"/>
    <x v="6"/>
    <x v="4"/>
    <d v="2024-07-24T00:00:00"/>
    <x v="0"/>
    <s v="Product_48"/>
    <x v="2"/>
    <x v="0"/>
    <n v="4225.4799999999996"/>
    <n v="6100.15"/>
    <n v="279"/>
    <n v="17063.09"/>
    <n v="2034.31"/>
    <n v="15028.78"/>
    <n v="650.72"/>
    <s v="East"/>
    <n v="24400.6"/>
    <n v="7498.68"/>
  </r>
  <r>
    <s v="ORD00363"/>
    <x v="150"/>
    <s v="CUST0115"/>
    <s v="PROD0043"/>
    <n v="5"/>
    <x v="0"/>
    <n v="14"/>
    <s v="Customer_115"/>
    <x v="0"/>
    <n v="20"/>
    <x v="6"/>
    <x v="0"/>
    <d v="2022-08-19T00:00:00"/>
    <x v="2"/>
    <s v="Product_43"/>
    <x v="3"/>
    <x v="1"/>
    <n v="4570.75"/>
    <n v="5891.26"/>
    <n v="285"/>
    <n v="18171.27"/>
    <n v="4489.4799999999996"/>
    <n v="13681.79"/>
    <n v="990.1"/>
    <s v="West"/>
    <n v="29456.300000000003"/>
    <n v="6602.5500000000011"/>
  </r>
  <r>
    <s v="ORD00364"/>
    <x v="83"/>
    <s v="CUST0192"/>
    <s v="PROD0011"/>
    <n v="3"/>
    <x v="3"/>
    <n v="5"/>
    <s v="Customer_192"/>
    <x v="0"/>
    <n v="44"/>
    <x v="3"/>
    <x v="2"/>
    <d v="2022-08-19T00:00:00"/>
    <x v="2"/>
    <s v="Product_11"/>
    <x v="0"/>
    <x v="1"/>
    <n v="2024.37"/>
    <n v="2982.78"/>
    <n v="11"/>
    <n v="6789.06"/>
    <n v="411.34"/>
    <n v="6377.72"/>
    <n v="2708.19"/>
    <s v="North"/>
    <n v="8948.34"/>
    <n v="2875.2300000000009"/>
  </r>
  <r>
    <s v="ORD00365"/>
    <x v="233"/>
    <s v="CUST0165"/>
    <s v="PROD0012"/>
    <n v="1"/>
    <x v="3"/>
    <n v="0"/>
    <s v="Customer_165"/>
    <x v="1"/>
    <n v="50"/>
    <x v="4"/>
    <x v="3"/>
    <d v="2025-03-23T00:00:00"/>
    <x v="1"/>
    <s v="Product_12"/>
    <x v="0"/>
    <x v="2"/>
    <n v="762.02"/>
    <n v="1161.9100000000001"/>
    <n v="293"/>
    <n v="9330.93"/>
    <n v="1255.94"/>
    <n v="8074.99"/>
    <n v="3219.97"/>
    <s v="North"/>
    <n v="1161.9100000000001"/>
    <n v="399.8900000000001"/>
  </r>
  <r>
    <s v="ORD00366"/>
    <x v="232"/>
    <s v="CUST0204"/>
    <s v="PROD0041"/>
    <n v="4"/>
    <x v="2"/>
    <n v="23"/>
    <s v="Customer_204"/>
    <x v="0"/>
    <n v="37"/>
    <x v="4"/>
    <x v="2"/>
    <d v="2024-05-24T00:00:00"/>
    <x v="0"/>
    <s v="Product_41"/>
    <x v="2"/>
    <x v="1"/>
    <n v="3358.26"/>
    <n v="4345.1099999999997"/>
    <n v="179"/>
    <n v="11477.94"/>
    <n v="2501.91"/>
    <n v="8976.0300000000007"/>
    <n v="1153.58"/>
    <s v="South"/>
    <n v="17380.439999999999"/>
    <n v="3947.3999999999978"/>
  </r>
  <r>
    <s v="ORD00367"/>
    <x v="70"/>
    <s v="CUST0097"/>
    <s v="PROD0023"/>
    <n v="6"/>
    <x v="3"/>
    <n v="2"/>
    <s v="Customer_97"/>
    <x v="0"/>
    <n v="46"/>
    <x v="7"/>
    <x v="2"/>
    <d v="2022-07-07T00:00:00"/>
    <x v="1"/>
    <s v="Product_23"/>
    <x v="3"/>
    <x v="3"/>
    <n v="1390.81"/>
    <n v="1874.61"/>
    <n v="262"/>
    <n v="12219"/>
    <n v="1617.28"/>
    <n v="10601.72"/>
    <n v="4534.41"/>
    <s v="North"/>
    <n v="11247.66"/>
    <n v="2902.7999999999997"/>
  </r>
  <r>
    <s v="ORD00368"/>
    <x v="102"/>
    <s v="CUST0089"/>
    <s v="PROD0004"/>
    <n v="5"/>
    <x v="2"/>
    <n v="5"/>
    <s v="Customer_89"/>
    <x v="0"/>
    <n v="44"/>
    <x v="5"/>
    <x v="4"/>
    <d v="2022-12-23T00:00:00"/>
    <x v="0"/>
    <s v="Product_4"/>
    <x v="0"/>
    <x v="0"/>
    <n v="4318.8599999999997"/>
    <n v="4880.6400000000003"/>
    <n v="149"/>
    <n v="10171.35"/>
    <n v="792.01"/>
    <n v="9379.34"/>
    <n v="3242.62"/>
    <s v="East"/>
    <n v="24403.200000000001"/>
    <n v="2808.9000000000033"/>
  </r>
  <r>
    <s v="ORD00369"/>
    <x v="234"/>
    <s v="CUST0213"/>
    <s v="PROD0056"/>
    <n v="2"/>
    <x v="1"/>
    <n v="20"/>
    <s v="Customer_213"/>
    <x v="1"/>
    <n v="43"/>
    <x v="7"/>
    <x v="1"/>
    <d v="2023-12-12T00:00:00"/>
    <x v="0"/>
    <s v="Product_56"/>
    <x v="3"/>
    <x v="1"/>
    <n v="929.24"/>
    <n v="1350.29"/>
    <n v="22"/>
    <n v="5689.48"/>
    <n v="891.02"/>
    <n v="4798.46"/>
    <n v="2268.0300000000002"/>
    <s v="East"/>
    <n v="2700.58"/>
    <n v="842.09999999999991"/>
  </r>
  <r>
    <s v="ORD00370"/>
    <x v="235"/>
    <s v="CUST0099"/>
    <s v="PROD0018"/>
    <n v="3"/>
    <x v="1"/>
    <n v="16"/>
    <s v="Customer_99"/>
    <x v="0"/>
    <n v="53"/>
    <x v="7"/>
    <x v="4"/>
    <d v="2023-11-12T00:00:00"/>
    <x v="1"/>
    <s v="Product_18"/>
    <x v="2"/>
    <x v="1"/>
    <n v="1290.44"/>
    <n v="1756.94"/>
    <n v="226"/>
    <n v="9921.24"/>
    <n v="1833.49"/>
    <n v="8087.75"/>
    <n v="4186.22"/>
    <s v="West"/>
    <n v="5270.82"/>
    <n v="1399.5"/>
  </r>
  <r>
    <s v="ORD00371"/>
    <x v="190"/>
    <s v="CUST0122"/>
    <s v="PROD0014"/>
    <n v="3"/>
    <x v="3"/>
    <n v="2"/>
    <s v="Customer_122"/>
    <x v="1"/>
    <n v="45"/>
    <x v="1"/>
    <x v="2"/>
    <d v="2022-10-04T00:00:00"/>
    <x v="2"/>
    <s v="Product_14"/>
    <x v="1"/>
    <x v="3"/>
    <n v="4301.32"/>
    <n v="6870.07"/>
    <n v="243"/>
    <n v="11828.18"/>
    <n v="2611.52"/>
    <n v="9216.66"/>
    <n v="2380.61"/>
    <s v="West"/>
    <n v="20610.21"/>
    <n v="7706.25"/>
  </r>
  <r>
    <s v="ORD00372"/>
    <x v="236"/>
    <s v="CUST0036"/>
    <s v="PROD0014"/>
    <n v="1"/>
    <x v="3"/>
    <n v="24"/>
    <s v="Customer_36"/>
    <x v="1"/>
    <n v="47"/>
    <x v="6"/>
    <x v="0"/>
    <d v="2022-07-22T00:00:00"/>
    <x v="1"/>
    <s v="Product_14"/>
    <x v="1"/>
    <x v="3"/>
    <n v="4301.32"/>
    <n v="6870.07"/>
    <n v="243"/>
    <n v="6272.48"/>
    <n v="1238.55"/>
    <n v="5033.93"/>
    <n v="1633.83"/>
    <s v="West"/>
    <n v="6870.07"/>
    <n v="2568.75"/>
  </r>
  <r>
    <s v="ORD00373"/>
    <x v="66"/>
    <s v="CUST0079"/>
    <s v="PROD0021"/>
    <n v="5"/>
    <x v="1"/>
    <n v="16"/>
    <s v="Customer_79"/>
    <x v="1"/>
    <n v="22"/>
    <x v="4"/>
    <x v="0"/>
    <d v="2022-06-11T00:00:00"/>
    <x v="2"/>
    <s v="Product_21"/>
    <x v="3"/>
    <x v="3"/>
    <n v="2359.8000000000002"/>
    <n v="2910.71"/>
    <n v="211"/>
    <n v="12454.04"/>
    <n v="3041.37"/>
    <n v="9412.67"/>
    <n v="1182.23"/>
    <s v="West"/>
    <n v="14553.55"/>
    <n v="2754.5499999999993"/>
  </r>
  <r>
    <s v="ORD00374"/>
    <x v="131"/>
    <s v="CUST0057"/>
    <s v="PROD0033"/>
    <n v="3"/>
    <x v="2"/>
    <n v="21"/>
    <s v="Customer_57"/>
    <x v="1"/>
    <n v="31"/>
    <x v="4"/>
    <x v="5"/>
    <d v="2024-04-07T00:00:00"/>
    <x v="1"/>
    <s v="Product_33"/>
    <x v="2"/>
    <x v="1"/>
    <n v="828.79"/>
    <n v="1227.1300000000001"/>
    <n v="228"/>
    <n v="5947.43"/>
    <n v="1328.15"/>
    <n v="4619.28"/>
    <n v="899.27"/>
    <s v="West"/>
    <n v="3681.3900000000003"/>
    <n v="1195.0200000000004"/>
  </r>
  <r>
    <s v="ORD00375"/>
    <x v="123"/>
    <s v="CUST0009"/>
    <s v="PROD0018"/>
    <n v="5"/>
    <x v="3"/>
    <n v="11"/>
    <s v="Customer_9"/>
    <x v="1"/>
    <n v="37"/>
    <x v="3"/>
    <x v="2"/>
    <d v="2023-12-10T00:00:00"/>
    <x v="1"/>
    <s v="Product_18"/>
    <x v="2"/>
    <x v="1"/>
    <n v="1290.44"/>
    <n v="1756.94"/>
    <n v="226"/>
    <n v="6256.88"/>
    <n v="295.56"/>
    <n v="5961.32"/>
    <n v="4540.95"/>
    <s v="South"/>
    <n v="8784.7000000000007"/>
    <n v="2332.5"/>
  </r>
  <r>
    <s v="ORD00376"/>
    <x v="150"/>
    <s v="CUST0083"/>
    <s v="PROD0008"/>
    <n v="6"/>
    <x v="1"/>
    <n v="16"/>
    <s v="Customer_83"/>
    <x v="1"/>
    <n v="30"/>
    <x v="1"/>
    <x v="4"/>
    <d v="2022-11-06T00:00:00"/>
    <x v="1"/>
    <s v="Product_8"/>
    <x v="1"/>
    <x v="1"/>
    <n v="2961.83"/>
    <n v="4189.8100000000004"/>
    <n v="165"/>
    <n v="8427.7199999999993"/>
    <n v="1845.16"/>
    <n v="6582.56"/>
    <n v="4467.6099999999997"/>
    <s v="West"/>
    <n v="25138.86"/>
    <n v="7367.8800000000028"/>
  </r>
  <r>
    <s v="ORD00377"/>
    <x v="180"/>
    <s v="CUST0143"/>
    <s v="PROD0053"/>
    <n v="1"/>
    <x v="1"/>
    <n v="3"/>
    <s v="Customer_143"/>
    <x v="1"/>
    <n v="25"/>
    <x v="2"/>
    <x v="5"/>
    <d v="2024-01-24T00:00:00"/>
    <x v="0"/>
    <s v="Product_53"/>
    <x v="0"/>
    <x v="3"/>
    <n v="4675.05"/>
    <n v="5769.35"/>
    <n v="260"/>
    <n v="1713.31"/>
    <n v="408.16"/>
    <n v="1305.1500000000001"/>
    <n v="1043.01"/>
    <s v="North"/>
    <n v="5769.35"/>
    <n v="1094.3000000000002"/>
  </r>
  <r>
    <s v="ORD00378"/>
    <x v="104"/>
    <s v="CUST0095"/>
    <s v="PROD0059"/>
    <n v="4"/>
    <x v="0"/>
    <n v="17"/>
    <s v="Customer_95"/>
    <x v="1"/>
    <n v="36"/>
    <x v="2"/>
    <x v="3"/>
    <d v="2022-01-18T00:00:00"/>
    <x v="0"/>
    <s v="Product_59"/>
    <x v="1"/>
    <x v="3"/>
    <n v="1492.62"/>
    <n v="2285.1999999999998"/>
    <n v="106"/>
    <n v="688.76"/>
    <n v="69.2"/>
    <n v="619.55999999999995"/>
    <n v="4096.8"/>
    <s v="West"/>
    <n v="9140.7999999999993"/>
    <n v="3170.3199999999997"/>
  </r>
  <r>
    <s v="ORD00379"/>
    <x v="237"/>
    <s v="CUST0216"/>
    <s v="PROD0026"/>
    <n v="2"/>
    <x v="3"/>
    <n v="24"/>
    <s v="Customer_216"/>
    <x v="1"/>
    <n v="45"/>
    <x v="1"/>
    <x v="0"/>
    <d v="2022-07-24T00:00:00"/>
    <x v="1"/>
    <s v="Product_26"/>
    <x v="0"/>
    <x v="1"/>
    <n v="1612.7"/>
    <n v="1932.63"/>
    <n v="278"/>
    <n v="13257.26"/>
    <n v="3022.71"/>
    <n v="10234.549999999999"/>
    <n v="2419.44"/>
    <s v="North"/>
    <n v="3865.26"/>
    <n v="639.86000000000013"/>
  </r>
  <r>
    <s v="ORD00380"/>
    <x v="133"/>
    <s v="CUST0174"/>
    <s v="PROD0058"/>
    <n v="6"/>
    <x v="2"/>
    <n v="24"/>
    <s v="Customer_174"/>
    <x v="0"/>
    <n v="25"/>
    <x v="3"/>
    <x v="2"/>
    <d v="2022-12-03T00:00:00"/>
    <x v="1"/>
    <s v="Product_58"/>
    <x v="1"/>
    <x v="1"/>
    <n v="1480.33"/>
    <n v="1709.3"/>
    <n v="229"/>
    <n v="13207.18"/>
    <n v="409.88"/>
    <n v="12797.3"/>
    <n v="3654.34"/>
    <s v="West"/>
    <n v="10255.799999999999"/>
    <n v="1373.8200000000002"/>
  </r>
  <r>
    <s v="ORD00381"/>
    <x v="238"/>
    <s v="CUST0140"/>
    <s v="PROD0001"/>
    <n v="6"/>
    <x v="0"/>
    <n v="23"/>
    <s v="Customer_140"/>
    <x v="1"/>
    <n v="26"/>
    <x v="2"/>
    <x v="3"/>
    <d v="2023-12-12T00:00:00"/>
    <x v="0"/>
    <s v="Product_1"/>
    <x v="2"/>
    <x v="2"/>
    <n v="4426.51"/>
    <n v="5123.7299999999996"/>
    <n v="298"/>
    <n v="15611.63"/>
    <n v="3882.74"/>
    <n v="11728.89"/>
    <n v="4725.1400000000003"/>
    <s v="North"/>
    <n v="30742.379999999997"/>
    <n v="4183.3199999999961"/>
  </r>
  <r>
    <s v="ORD00382"/>
    <x v="160"/>
    <s v="CUST0148"/>
    <s v="PROD0001"/>
    <n v="3"/>
    <x v="0"/>
    <n v="15"/>
    <s v="Customer_148"/>
    <x v="0"/>
    <n v="41"/>
    <x v="7"/>
    <x v="2"/>
    <d v="2022-10-27T00:00:00"/>
    <x v="1"/>
    <s v="Product_1"/>
    <x v="2"/>
    <x v="2"/>
    <n v="4426.51"/>
    <n v="5123.7299999999996"/>
    <n v="298"/>
    <n v="7410.26"/>
    <n v="313.48"/>
    <n v="7096.78"/>
    <n v="4181.76"/>
    <s v="West"/>
    <n v="15371.189999999999"/>
    <n v="2091.659999999998"/>
  </r>
  <r>
    <s v="ORD00383"/>
    <x v="239"/>
    <s v="CUST0121"/>
    <s v="PROD0042"/>
    <n v="1"/>
    <x v="2"/>
    <n v="11"/>
    <s v="Customer_121"/>
    <x v="0"/>
    <n v="56"/>
    <x v="0"/>
    <x v="4"/>
    <d v="2022-07-07T00:00:00"/>
    <x v="1"/>
    <s v="Product_42"/>
    <x v="1"/>
    <x v="3"/>
    <n v="1858.72"/>
    <n v="2175.88"/>
    <n v="272"/>
    <n v="5285.57"/>
    <n v="281.08"/>
    <n v="5004.49"/>
    <n v="1988.82"/>
    <s v="South"/>
    <n v="2175.88"/>
    <n v="317.16000000000008"/>
  </r>
  <r>
    <s v="ORD00384"/>
    <x v="215"/>
    <s v="CUST0119"/>
    <s v="PROD0036"/>
    <n v="4"/>
    <x v="3"/>
    <n v="20"/>
    <s v="Customer_119"/>
    <x v="0"/>
    <n v="36"/>
    <x v="4"/>
    <x v="4"/>
    <d v="2022-02-07T00:00:00"/>
    <x v="2"/>
    <s v="Product_36"/>
    <x v="3"/>
    <x v="0"/>
    <n v="1637.53"/>
    <n v="1892.5"/>
    <n v="169"/>
    <n v="2502.5300000000002"/>
    <n v="563.16999999999996"/>
    <n v="1939.36"/>
    <n v="2563.5"/>
    <s v="North"/>
    <n v="7570"/>
    <n v="1019.8800000000001"/>
  </r>
  <r>
    <s v="ORD00385"/>
    <x v="240"/>
    <s v="CUST0109"/>
    <s v="PROD0043"/>
    <n v="5"/>
    <x v="1"/>
    <n v="5"/>
    <s v="Customer_109"/>
    <x v="0"/>
    <n v="42"/>
    <x v="6"/>
    <x v="2"/>
    <d v="2023-06-09T00:00:00"/>
    <x v="0"/>
    <s v="Product_43"/>
    <x v="3"/>
    <x v="1"/>
    <n v="4570.75"/>
    <n v="5891.26"/>
    <n v="285"/>
    <n v="2225.5700000000002"/>
    <n v="305.82"/>
    <n v="1919.75"/>
    <n v="2176.66"/>
    <s v="West"/>
    <n v="29456.300000000003"/>
    <n v="6602.5500000000011"/>
  </r>
  <r>
    <s v="ORD00386"/>
    <x v="241"/>
    <s v="CUST0117"/>
    <s v="PROD0041"/>
    <n v="4"/>
    <x v="0"/>
    <n v="1"/>
    <s v="Customer_117"/>
    <x v="1"/>
    <n v="28"/>
    <x v="1"/>
    <x v="1"/>
    <d v="2023-03-12T00:00:00"/>
    <x v="0"/>
    <s v="Product_41"/>
    <x v="2"/>
    <x v="1"/>
    <n v="3358.26"/>
    <n v="4345.1099999999997"/>
    <n v="179"/>
    <n v="863.95"/>
    <n v="29.43"/>
    <n v="834.52"/>
    <n v="2286.5"/>
    <s v="West"/>
    <n v="17380.439999999999"/>
    <n v="3947.3999999999978"/>
  </r>
  <r>
    <s v="ORD00387"/>
    <x v="242"/>
    <s v="CUST0126"/>
    <s v="PROD0010"/>
    <n v="2"/>
    <x v="1"/>
    <n v="22"/>
    <s v="Customer_126"/>
    <x v="1"/>
    <n v="41"/>
    <x v="0"/>
    <x v="1"/>
    <d v="2024-07-31T00:00:00"/>
    <x v="2"/>
    <s v="Product_10"/>
    <x v="3"/>
    <x v="2"/>
    <n v="830.87"/>
    <n v="1283.0999999999999"/>
    <n v="46"/>
    <n v="5225.0600000000004"/>
    <n v="92.46"/>
    <n v="5132.6000000000004"/>
    <n v="3724.93"/>
    <s v="East"/>
    <n v="2566.1999999999998"/>
    <n v="904.45999999999981"/>
  </r>
  <r>
    <s v="ORD00388"/>
    <x v="153"/>
    <s v="CUST0006"/>
    <s v="PROD0049"/>
    <n v="3"/>
    <x v="0"/>
    <n v="16"/>
    <s v="Customer_6"/>
    <x v="0"/>
    <n v="23"/>
    <x v="2"/>
    <x v="3"/>
    <d v="2022-11-12T00:00:00"/>
    <x v="2"/>
    <s v="Product_49"/>
    <x v="0"/>
    <x v="2"/>
    <n v="4793.34"/>
    <n v="7058.65"/>
    <n v="107"/>
    <n v="11353.17"/>
    <n v="2824.84"/>
    <n v="8528.33"/>
    <n v="2041.09"/>
    <s v="South"/>
    <n v="21175.949999999997"/>
    <n v="6795.9299999999985"/>
  </r>
  <r>
    <s v="ORD00389"/>
    <x v="243"/>
    <s v="CUST0115"/>
    <s v="PROD0024"/>
    <n v="4"/>
    <x v="3"/>
    <n v="21"/>
    <s v="Customer_115"/>
    <x v="0"/>
    <n v="20"/>
    <x v="6"/>
    <x v="0"/>
    <d v="2022-08-19T00:00:00"/>
    <x v="2"/>
    <s v="Product_24"/>
    <x v="0"/>
    <x v="1"/>
    <n v="1093.9000000000001"/>
    <n v="1507.34"/>
    <n v="11"/>
    <n v="3454.95"/>
    <n v="398.25"/>
    <n v="3056.7"/>
    <n v="195.93"/>
    <s v="East"/>
    <n v="6029.36"/>
    <n v="1653.7599999999993"/>
  </r>
  <r>
    <s v="ORD00390"/>
    <x v="137"/>
    <s v="CUST0010"/>
    <s v="PROD0001"/>
    <n v="3"/>
    <x v="2"/>
    <n v="25"/>
    <s v="Customer_10"/>
    <x v="1"/>
    <n v="53"/>
    <x v="4"/>
    <x v="4"/>
    <d v="2023-10-03T00:00:00"/>
    <x v="1"/>
    <s v="Product_1"/>
    <x v="2"/>
    <x v="2"/>
    <n v="4426.51"/>
    <n v="5123.7299999999996"/>
    <n v="298"/>
    <n v="9421.7099999999991"/>
    <n v="1616.2"/>
    <n v="7805.51"/>
    <n v="1181.01"/>
    <s v="South"/>
    <n v="15371.189999999999"/>
    <n v="2091.659999999998"/>
  </r>
  <r>
    <s v="ORD00391"/>
    <x v="244"/>
    <s v="CUST0081"/>
    <s v="PROD0025"/>
    <n v="3"/>
    <x v="0"/>
    <n v="17"/>
    <s v="Customer_81"/>
    <x v="1"/>
    <n v="26"/>
    <x v="5"/>
    <x v="5"/>
    <d v="2023-11-09T00:00:00"/>
    <x v="0"/>
    <s v="Product_25"/>
    <x v="2"/>
    <x v="1"/>
    <n v="4398.43"/>
    <n v="6683.28"/>
    <n v="152"/>
    <n v="15590.3"/>
    <n v="3050"/>
    <n v="12540.3"/>
    <n v="4044.25"/>
    <s v="North"/>
    <n v="20049.84"/>
    <n v="6854.5499999999984"/>
  </r>
  <r>
    <s v="ORD00392"/>
    <x v="205"/>
    <s v="CUST0185"/>
    <s v="PROD0027"/>
    <n v="5"/>
    <x v="2"/>
    <n v="25"/>
    <s v="Customer_185"/>
    <x v="0"/>
    <n v="39"/>
    <x v="6"/>
    <x v="0"/>
    <d v="2025-03-12T00:00:00"/>
    <x v="1"/>
    <s v="Product_27"/>
    <x v="0"/>
    <x v="0"/>
    <n v="2340.46"/>
    <n v="2600.46"/>
    <n v="245"/>
    <n v="12765.81"/>
    <n v="874.28"/>
    <n v="11891.53"/>
    <n v="1909.71"/>
    <s v="South"/>
    <n v="13002.3"/>
    <n v="1300"/>
  </r>
  <r>
    <s v="ORD00393"/>
    <x v="31"/>
    <s v="CUST0136"/>
    <s v="PROD0043"/>
    <n v="6"/>
    <x v="3"/>
    <n v="24"/>
    <s v="Customer_136"/>
    <x v="0"/>
    <n v="49"/>
    <x v="0"/>
    <x v="4"/>
    <d v="2024-12-19T00:00:00"/>
    <x v="0"/>
    <s v="Product_43"/>
    <x v="3"/>
    <x v="1"/>
    <n v="4570.75"/>
    <n v="5891.26"/>
    <n v="285"/>
    <n v="16513.5"/>
    <n v="2340.29"/>
    <n v="14173.21"/>
    <n v="4682.4399999999996"/>
    <s v="North"/>
    <n v="35347.56"/>
    <n v="7923.0600000000013"/>
  </r>
  <r>
    <s v="ORD00394"/>
    <x v="245"/>
    <s v="CUST0033"/>
    <s v="PROD0058"/>
    <n v="1"/>
    <x v="3"/>
    <n v="25"/>
    <s v="Customer_33"/>
    <x v="0"/>
    <n v="33"/>
    <x v="6"/>
    <x v="2"/>
    <d v="2024-01-14T00:00:00"/>
    <x v="0"/>
    <s v="Product_58"/>
    <x v="1"/>
    <x v="1"/>
    <n v="1480.33"/>
    <n v="1709.3"/>
    <n v="229"/>
    <n v="17792.740000000002"/>
    <n v="3294.94"/>
    <n v="14497.8"/>
    <n v="986.03"/>
    <s v="South"/>
    <n v="1709.3"/>
    <n v="228.97000000000003"/>
  </r>
  <r>
    <s v="ORD00395"/>
    <x v="38"/>
    <s v="CUST0062"/>
    <s v="PROD0052"/>
    <n v="3"/>
    <x v="1"/>
    <n v="14"/>
    <s v="Customer_62"/>
    <x v="0"/>
    <n v="37"/>
    <x v="1"/>
    <x v="4"/>
    <d v="2025-03-08T00:00:00"/>
    <x v="0"/>
    <s v="Product_52"/>
    <x v="0"/>
    <x v="2"/>
    <n v="3470.49"/>
    <n v="5407.89"/>
    <n v="141"/>
    <n v="5532.84"/>
    <n v="1196.22"/>
    <n v="4336.62"/>
    <n v="3192.59"/>
    <s v="West"/>
    <n v="16223.670000000002"/>
    <n v="5812.2000000000016"/>
  </r>
  <r>
    <s v="ORD00396"/>
    <x v="246"/>
    <s v="CUST0082"/>
    <s v="PROD0044"/>
    <n v="6"/>
    <x v="1"/>
    <n v="25"/>
    <s v="Customer_82"/>
    <x v="1"/>
    <n v="31"/>
    <x v="6"/>
    <x v="4"/>
    <d v="2025-01-03T00:00:00"/>
    <x v="0"/>
    <s v="Product_44"/>
    <x v="3"/>
    <x v="2"/>
    <n v="1622.17"/>
    <n v="1993.72"/>
    <n v="262"/>
    <n v="14906.42"/>
    <n v="927.71"/>
    <n v="13978.71"/>
    <n v="2506.46"/>
    <s v="West"/>
    <n v="11962.32"/>
    <n v="2229.2999999999997"/>
  </r>
  <r>
    <s v="ORD00397"/>
    <x v="108"/>
    <s v="CUST0006"/>
    <s v="PROD0048"/>
    <n v="4"/>
    <x v="1"/>
    <n v="7"/>
    <s v="Customer_6"/>
    <x v="0"/>
    <n v="23"/>
    <x v="2"/>
    <x v="3"/>
    <d v="2022-11-12T00:00:00"/>
    <x v="2"/>
    <s v="Product_48"/>
    <x v="2"/>
    <x v="0"/>
    <n v="4225.4799999999996"/>
    <n v="6100.15"/>
    <n v="279"/>
    <n v="11771.65"/>
    <n v="1888.88"/>
    <n v="9882.77"/>
    <n v="2947.48"/>
    <s v="East"/>
    <n v="24400.6"/>
    <n v="7498.68"/>
  </r>
  <r>
    <s v="ORD00398"/>
    <x v="228"/>
    <s v="CUST0135"/>
    <s v="PROD0025"/>
    <n v="2"/>
    <x v="3"/>
    <n v="25"/>
    <s v="Customer_135"/>
    <x v="1"/>
    <n v="52"/>
    <x v="6"/>
    <x v="0"/>
    <d v="2022-06-04T00:00:00"/>
    <x v="1"/>
    <s v="Product_25"/>
    <x v="2"/>
    <x v="1"/>
    <n v="4398.43"/>
    <n v="6683.28"/>
    <n v="152"/>
    <n v="16800.75"/>
    <n v="268.83999999999997"/>
    <n v="16531.91"/>
    <n v="2561.7199999999998"/>
    <s v="South"/>
    <n v="13366.56"/>
    <n v="4569.6999999999989"/>
  </r>
  <r>
    <s v="ORD00399"/>
    <x v="107"/>
    <s v="CUST0219"/>
    <s v="PROD0040"/>
    <n v="3"/>
    <x v="2"/>
    <n v="10"/>
    <s v="Customer_219"/>
    <x v="0"/>
    <n v="24"/>
    <x v="3"/>
    <x v="0"/>
    <d v="2022-11-20T00:00:00"/>
    <x v="0"/>
    <s v="Product_40"/>
    <x v="1"/>
    <x v="1"/>
    <n v="2345.7800000000002"/>
    <n v="2891.96"/>
    <n v="122"/>
    <n v="18948.099999999999"/>
    <n v="272.26"/>
    <n v="18675.84"/>
    <n v="3627.56"/>
    <s v="West"/>
    <n v="8675.880000000001"/>
    <n v="1638.5399999999995"/>
  </r>
  <r>
    <s v="ORD00400"/>
    <x v="171"/>
    <s v="CUST0078"/>
    <s v="PROD0051"/>
    <n v="5"/>
    <x v="0"/>
    <n v="21"/>
    <s v="Customer_78"/>
    <x v="0"/>
    <n v="54"/>
    <x v="5"/>
    <x v="2"/>
    <d v="2025-01-06T00:00:00"/>
    <x v="0"/>
    <s v="Product_51"/>
    <x v="0"/>
    <x v="1"/>
    <n v="1607.82"/>
    <n v="2197.14"/>
    <n v="27"/>
    <n v="7953.94"/>
    <n v="785.17"/>
    <n v="7168.77"/>
    <n v="1355.54"/>
    <s v="East"/>
    <n v="10985.699999999999"/>
    <n v="2946.5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6F5DCD-3637-47D4-AC2A-E99AC92A5144}"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29">
    <pivotField dataField="1"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dataField="1" showAll="0"/>
    <pivotField showAll="0"/>
    <pivotField showAll="0"/>
    <pivotField showAll="0">
      <items count="5">
        <item x="3"/>
        <item x="2"/>
        <item x="1"/>
        <item x="0"/>
        <item t="default"/>
      </items>
    </pivotField>
    <pivotField showAll="0"/>
    <pivotField showAll="0"/>
    <pivotField showAll="0"/>
    <pivotField showAll="0"/>
    <pivotField showAll="0">
      <items count="9">
        <item x="7"/>
        <item x="5"/>
        <item x="3"/>
        <item x="2"/>
        <item x="1"/>
        <item x="0"/>
        <item x="4"/>
        <item x="6"/>
        <item t="default"/>
      </items>
    </pivotField>
    <pivotField showAll="0">
      <items count="7">
        <item x="2"/>
        <item x="0"/>
        <item x="4"/>
        <item x="3"/>
        <item x="1"/>
        <item x="5"/>
        <item t="default"/>
      </items>
    </pivotField>
    <pivotField numFmtId="14" showAll="0"/>
    <pivotField showAll="0">
      <items count="4">
        <item x="0"/>
        <item x="1"/>
        <item x="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4">
    <i>
      <x/>
    </i>
    <i i="1">
      <x v="1"/>
    </i>
    <i i="2">
      <x v="2"/>
    </i>
    <i i="3">
      <x v="3"/>
    </i>
  </rowItems>
  <colItems count="1">
    <i/>
  </colItems>
  <dataFields count="4">
    <dataField name="Sum of Final_Sales" fld="22" baseField="0" baseItem="0"/>
    <dataField name="Count of Customer_ID" fld="2" subtotal="count" baseField="0" baseItem="0"/>
    <dataField name="Sum of Profit" fld="23" baseField="0" baseItem="0"/>
    <dataField name="Count of Order_ID" fld="0" subtotal="count" baseField="0" baseItem="0"/>
  </dataFields>
  <formats count="6">
    <format dxfId="0">
      <pivotArea outline="0" collapsedLevelsAreSubtotals="1" fieldPosition="0"/>
    </format>
    <format dxfId="1">
      <pivotArea dataOnly="0" labelOnly="1" outline="0" axis="axisValues" fieldPosition="0"/>
    </format>
    <format dxfId="2">
      <pivotArea outline="0" fieldPosition="0">
        <references count="1">
          <reference field="4294967294" count="1">
            <x v="0"/>
          </reference>
        </references>
      </pivotArea>
    </format>
    <format dxfId="3">
      <pivotArea collapsedLevelsAreSubtotals="1" fieldPosition="0">
        <references count="1">
          <reference field="4294967294" count="1">
            <x v="1"/>
          </reference>
        </references>
      </pivotArea>
    </format>
    <format dxfId="4">
      <pivotArea collapsedLevelsAreSubtotals="1" fieldPosition="0">
        <references count="1">
          <reference field="4294967294" count="1">
            <x v="2"/>
          </reference>
        </references>
      </pivotArea>
    </format>
    <format dxfId="5">
      <pivotArea collapsedLevelsAreSubtotals="1" fieldPosition="0">
        <references count="1">
          <reference field="4294967294"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81EB8F-E553-4C12-999B-02884D6664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18" firstHeaderRow="0" firstDataRow="1" firstDataCol="0"/>
  <pivotFields count="29">
    <pivotField dataField="1"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dataField="1" showAll="0"/>
    <pivotField showAll="0"/>
    <pivotField showAll="0"/>
    <pivotField showAll="0">
      <items count="5">
        <item x="3"/>
        <item x="2"/>
        <item x="1"/>
        <item x="0"/>
        <item t="default"/>
      </items>
    </pivotField>
    <pivotField showAll="0"/>
    <pivotField showAll="0"/>
    <pivotField showAll="0"/>
    <pivotField showAll="0"/>
    <pivotField showAll="0"/>
    <pivotField showAll="0">
      <items count="7">
        <item x="2"/>
        <item x="0"/>
        <item x="4"/>
        <item x="3"/>
        <item x="1"/>
        <item x="5"/>
        <item t="default"/>
      </items>
    </pivotField>
    <pivotField numFmtId="14" showAll="0"/>
    <pivotField showAll="0">
      <items count="4">
        <item x="0"/>
        <item x="1"/>
        <item x="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defaultSubtotal="0"/>
    <pivotField showAll="0" defaultSubtotal="0">
      <items count="3">
        <item x="0"/>
        <item x="1"/>
        <item x="2"/>
      </items>
    </pivotField>
  </pivotFields>
  <rowItems count="1">
    <i/>
  </rowItems>
  <colFields count="1">
    <field x="-2"/>
  </colFields>
  <colItems count="4">
    <i>
      <x/>
    </i>
    <i i="1">
      <x v="1"/>
    </i>
    <i i="2">
      <x v="2"/>
    </i>
    <i i="3">
      <x v="3"/>
    </i>
  </colItems>
  <dataFields count="4">
    <dataField name="Sum of Total sales" fld="25" baseField="0" baseItem="0" numFmtId="166"/>
    <dataField name="Count of Customer_ID" fld="2" subtotal="count" baseField="0" baseItem="0"/>
    <dataField name="Sum of Profit" fld="23" baseField="0" baseItem="0" numFmtId="167"/>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724B9-8F8E-43E6-810F-0FBB89CC2A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7" firstHeaderRow="1" firstDataRow="1" firstDataCol="1"/>
  <pivotFields count="29">
    <pivotField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items count="9">
        <item x="7"/>
        <item x="5"/>
        <item x="3"/>
        <item x="2"/>
        <item x="1"/>
        <item x="0"/>
        <item x="4"/>
        <item x="6"/>
        <item t="default"/>
      </items>
    </pivotField>
    <pivotField showAll="0">
      <items count="7">
        <item x="2"/>
        <item x="0"/>
        <item x="4"/>
        <item x="3"/>
        <item x="1"/>
        <item x="5"/>
        <item t="default"/>
      </items>
    </pivotField>
    <pivotField numFmtId="14" showAll="0"/>
    <pivotField showAll="0">
      <items count="4">
        <item x="0"/>
        <item x="1"/>
        <item x="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8"/>
    <field x="27"/>
  </rowFields>
  <rowItems count="14">
    <i>
      <x v="1"/>
    </i>
    <i r="1">
      <x v="1"/>
    </i>
    <i r="1">
      <x v="2"/>
    </i>
    <i r="1">
      <x v="3"/>
    </i>
    <i r="1">
      <x v="4"/>
    </i>
    <i r="1">
      <x v="5"/>
    </i>
    <i r="1">
      <x v="6"/>
    </i>
    <i r="1">
      <x v="7"/>
    </i>
    <i r="1">
      <x v="8"/>
    </i>
    <i r="1">
      <x v="9"/>
    </i>
    <i r="1">
      <x v="10"/>
    </i>
    <i r="1">
      <x v="11"/>
    </i>
    <i r="1">
      <x v="12"/>
    </i>
    <i t="grand">
      <x/>
    </i>
  </rowItems>
  <colItems count="1">
    <i/>
  </colItems>
  <dataFields count="1">
    <dataField name="Sum of Final_Sales" fld="22" baseField="0" baseItem="0" numFmtId="164"/>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7" count="1" selected="0">
            <x v="3"/>
          </reference>
          <reference field="28" count="1" selected="0">
            <x v="1"/>
          </reference>
        </references>
      </pivotArea>
    </chartFormat>
    <chartFormat chart="0" format="2">
      <pivotArea type="data" outline="0" fieldPosition="0">
        <references count="3">
          <reference field="4294967294" count="1" selected="0">
            <x v="0"/>
          </reference>
          <reference field="27" count="1" selected="0">
            <x v="4"/>
          </reference>
          <reference field="28" count="1" selected="0">
            <x v="1"/>
          </reference>
        </references>
      </pivotArea>
    </chartFormat>
    <chartFormat chart="0" format="3">
      <pivotArea type="data" outline="0" fieldPosition="0">
        <references count="3">
          <reference field="4294967294" count="1" selected="0">
            <x v="0"/>
          </reference>
          <reference field="27" count="1" selected="0">
            <x v="5"/>
          </reference>
          <reference field="28" count="1" selected="0">
            <x v="1"/>
          </reference>
        </references>
      </pivotArea>
    </chartFormat>
    <chartFormat chart="0" format="4">
      <pivotArea type="data" outline="0" fieldPosition="0">
        <references count="3">
          <reference field="4294967294" count="1" selected="0">
            <x v="0"/>
          </reference>
          <reference field="27" count="1" selected="0">
            <x v="6"/>
          </reference>
          <reference field="28" count="1" selected="0">
            <x v="1"/>
          </reference>
        </references>
      </pivotArea>
    </chartFormat>
    <chartFormat chart="0" format="5">
      <pivotArea type="data" outline="0" fieldPosition="0">
        <references count="3">
          <reference field="4294967294" count="1" selected="0">
            <x v="0"/>
          </reference>
          <reference field="27" count="1" selected="0">
            <x v="7"/>
          </reference>
          <reference field="28" count="1" selected="0">
            <x v="1"/>
          </reference>
        </references>
      </pivotArea>
    </chartFormat>
    <chartFormat chart="0" format="6">
      <pivotArea type="data" outline="0" fieldPosition="0">
        <references count="3">
          <reference field="4294967294" count="1" selected="0">
            <x v="0"/>
          </reference>
          <reference field="27" count="1" selected="0">
            <x v="8"/>
          </reference>
          <reference field="28" count="1" selected="0">
            <x v="1"/>
          </reference>
        </references>
      </pivotArea>
    </chartFormat>
    <chartFormat chart="0" format="7">
      <pivotArea type="data" outline="0" fieldPosition="0">
        <references count="3">
          <reference field="4294967294" count="1" selected="0">
            <x v="0"/>
          </reference>
          <reference field="27" count="1" selected="0">
            <x v="9"/>
          </reference>
          <reference field="28" count="1" selected="0">
            <x v="1"/>
          </reference>
        </references>
      </pivotArea>
    </chartFormat>
    <chartFormat chart="0" format="8">
      <pivotArea type="data" outline="0" fieldPosition="0">
        <references count="3">
          <reference field="4294967294" count="1" selected="0">
            <x v="0"/>
          </reference>
          <reference field="27" count="1" selected="0">
            <x v="10"/>
          </reference>
          <reference field="28" count="1" selected="0">
            <x v="1"/>
          </reference>
        </references>
      </pivotArea>
    </chartFormat>
    <chartFormat chart="0" format="9">
      <pivotArea type="data" outline="0" fieldPosition="0">
        <references count="3">
          <reference field="4294967294" count="1" selected="0">
            <x v="0"/>
          </reference>
          <reference field="27" count="1" selected="0">
            <x v="11"/>
          </reference>
          <reference field="28" count="1" selected="0">
            <x v="1"/>
          </reference>
        </references>
      </pivotArea>
    </chartFormat>
    <chartFormat chart="0" format="10">
      <pivotArea type="data" outline="0" fieldPosition="0">
        <references count="3">
          <reference field="4294967294" count="1" selected="0">
            <x v="0"/>
          </reference>
          <reference field="27" count="1" selected="0">
            <x v="12"/>
          </reference>
          <reference field="28" count="1" selected="0">
            <x v="1"/>
          </reference>
        </references>
      </pivotArea>
    </chartFormat>
    <chartFormat chart="0" format="11">
      <pivotArea type="data" outline="0" fieldPosition="0">
        <references count="3">
          <reference field="4294967294" count="1" selected="0">
            <x v="0"/>
          </reference>
          <reference field="27" count="1" selected="0">
            <x v="2"/>
          </reference>
          <reference field="28" count="1" selected="0">
            <x v="1"/>
          </reference>
        </references>
      </pivotArea>
    </chartFormat>
    <chartFormat chart="0" format="12">
      <pivotArea type="data" outline="0" fieldPosition="0">
        <references count="3">
          <reference field="4294967294" count="1" selected="0">
            <x v="0"/>
          </reference>
          <reference field="27" count="1" selected="0">
            <x v="1"/>
          </reference>
          <reference field="28" count="1" selected="0">
            <x v="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3">
          <reference field="4294967294" count="1" selected="0">
            <x v="0"/>
          </reference>
          <reference field="27" count="1" selected="0">
            <x v="1"/>
          </reference>
          <reference field="28" count="1" selected="0">
            <x v="1"/>
          </reference>
        </references>
      </pivotArea>
    </chartFormat>
    <chartFormat chart="4" format="28">
      <pivotArea type="data" outline="0" fieldPosition="0">
        <references count="3">
          <reference field="4294967294" count="1" selected="0">
            <x v="0"/>
          </reference>
          <reference field="27" count="1" selected="0">
            <x v="2"/>
          </reference>
          <reference field="28" count="1" selected="0">
            <x v="1"/>
          </reference>
        </references>
      </pivotArea>
    </chartFormat>
    <chartFormat chart="4" format="29">
      <pivotArea type="data" outline="0" fieldPosition="0">
        <references count="3">
          <reference field="4294967294" count="1" selected="0">
            <x v="0"/>
          </reference>
          <reference field="27" count="1" selected="0">
            <x v="3"/>
          </reference>
          <reference field="28" count="1" selected="0">
            <x v="1"/>
          </reference>
        </references>
      </pivotArea>
    </chartFormat>
    <chartFormat chart="4" format="30">
      <pivotArea type="data" outline="0" fieldPosition="0">
        <references count="3">
          <reference field="4294967294" count="1" selected="0">
            <x v="0"/>
          </reference>
          <reference field="27" count="1" selected="0">
            <x v="4"/>
          </reference>
          <reference field="28" count="1" selected="0">
            <x v="1"/>
          </reference>
        </references>
      </pivotArea>
    </chartFormat>
    <chartFormat chart="4" format="31">
      <pivotArea type="data" outline="0" fieldPosition="0">
        <references count="3">
          <reference field="4294967294" count="1" selected="0">
            <x v="0"/>
          </reference>
          <reference field="27" count="1" selected="0">
            <x v="5"/>
          </reference>
          <reference field="28" count="1" selected="0">
            <x v="1"/>
          </reference>
        </references>
      </pivotArea>
    </chartFormat>
    <chartFormat chart="4" format="32">
      <pivotArea type="data" outline="0" fieldPosition="0">
        <references count="3">
          <reference field="4294967294" count="1" selected="0">
            <x v="0"/>
          </reference>
          <reference field="27" count="1" selected="0">
            <x v="6"/>
          </reference>
          <reference field="28" count="1" selected="0">
            <x v="1"/>
          </reference>
        </references>
      </pivotArea>
    </chartFormat>
    <chartFormat chart="4" format="33">
      <pivotArea type="data" outline="0" fieldPosition="0">
        <references count="3">
          <reference field="4294967294" count="1" selected="0">
            <x v="0"/>
          </reference>
          <reference field="27" count="1" selected="0">
            <x v="7"/>
          </reference>
          <reference field="28" count="1" selected="0">
            <x v="1"/>
          </reference>
        </references>
      </pivotArea>
    </chartFormat>
    <chartFormat chart="4" format="34">
      <pivotArea type="data" outline="0" fieldPosition="0">
        <references count="3">
          <reference field="4294967294" count="1" selected="0">
            <x v="0"/>
          </reference>
          <reference field="27" count="1" selected="0">
            <x v="8"/>
          </reference>
          <reference field="28" count="1" selected="0">
            <x v="1"/>
          </reference>
        </references>
      </pivotArea>
    </chartFormat>
    <chartFormat chart="4" format="35">
      <pivotArea type="data" outline="0" fieldPosition="0">
        <references count="3">
          <reference field="4294967294" count="1" selected="0">
            <x v="0"/>
          </reference>
          <reference field="27" count="1" selected="0">
            <x v="9"/>
          </reference>
          <reference field="28" count="1" selected="0">
            <x v="1"/>
          </reference>
        </references>
      </pivotArea>
    </chartFormat>
    <chartFormat chart="4" format="36">
      <pivotArea type="data" outline="0" fieldPosition="0">
        <references count="3">
          <reference field="4294967294" count="1" selected="0">
            <x v="0"/>
          </reference>
          <reference field="27" count="1" selected="0">
            <x v="10"/>
          </reference>
          <reference field="28" count="1" selected="0">
            <x v="1"/>
          </reference>
        </references>
      </pivotArea>
    </chartFormat>
    <chartFormat chart="4" format="37">
      <pivotArea type="data" outline="0" fieldPosition="0">
        <references count="3">
          <reference field="4294967294" count="1" selected="0">
            <x v="0"/>
          </reference>
          <reference field="27" count="1" selected="0">
            <x v="11"/>
          </reference>
          <reference field="28" count="1" selected="0">
            <x v="1"/>
          </reference>
        </references>
      </pivotArea>
    </chartFormat>
    <chartFormat chart="4" format="38">
      <pivotArea type="data" outline="0" fieldPosition="0">
        <references count="3">
          <reference field="4294967294" count="1" selected="0">
            <x v="0"/>
          </reference>
          <reference field="27" count="1" selected="0">
            <x v="12"/>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5B2B71-5A9B-4140-B745-1754DA13F85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8" firstHeaderRow="1" firstDataRow="1" firstDataCol="1"/>
  <pivotFields count="29">
    <pivotField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items count="9">
        <item x="7"/>
        <item x="5"/>
        <item x="3"/>
        <item x="2"/>
        <item x="1"/>
        <item x="0"/>
        <item x="4"/>
        <item x="6"/>
        <item t="default"/>
      </items>
    </pivotField>
    <pivotField showAll="0">
      <items count="7">
        <item x="2"/>
        <item x="0"/>
        <item x="4"/>
        <item x="3"/>
        <item x="1"/>
        <item x="5"/>
        <item t="default"/>
      </items>
    </pivotField>
    <pivotField numFmtId="14" showAll="0"/>
    <pivotField showAll="0">
      <items count="4">
        <item x="0"/>
        <item x="1"/>
        <item x="2"/>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3">
        <item x="0"/>
        <item x="1"/>
        <item x="2"/>
      </items>
    </pivotField>
  </pivotFields>
  <rowFields count="1">
    <field x="15"/>
  </rowFields>
  <rowItems count="5">
    <i>
      <x/>
    </i>
    <i>
      <x v="1"/>
    </i>
    <i>
      <x v="2"/>
    </i>
    <i>
      <x v="3"/>
    </i>
    <i t="grand">
      <x/>
    </i>
  </rowItems>
  <colItems count="1">
    <i/>
  </colItems>
  <dataFields count="1">
    <dataField name="Sum of Total sales" fld="25" baseField="0"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1C30B-F2EA-4DA5-8337-F0BAECF7548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29">
    <pivotField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items count="9">
        <item x="7"/>
        <item x="5"/>
        <item x="3"/>
        <item x="2"/>
        <item x="1"/>
        <item x="0"/>
        <item x="4"/>
        <item x="6"/>
        <item t="default"/>
      </items>
    </pivotField>
    <pivotField showAll="0">
      <items count="7">
        <item x="2"/>
        <item x="0"/>
        <item x="4"/>
        <item x="3"/>
        <item x="1"/>
        <item x="5"/>
        <item t="default"/>
      </items>
    </pivotField>
    <pivotField numFmtId="14" showAll="0"/>
    <pivotField showAll="0">
      <items count="4">
        <item x="0"/>
        <item x="1"/>
        <item x="2"/>
        <item t="default"/>
      </items>
    </pivotField>
    <pivotField showAll="0"/>
    <pivotField showAll="0">
      <items count="5">
        <item x="3"/>
        <item x="2"/>
        <item x="0"/>
        <item x="1"/>
        <item t="default"/>
      </items>
    </pivotField>
    <pivotField axis="axisRow" showAll="0" sortType="descending">
      <items count="5">
        <item sd="0" x="2"/>
        <item sd="0" x="0"/>
        <item sd="0" x="3"/>
        <item sd="0" x="1"/>
        <item t="default" sd="0"/>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3">
        <item x="0"/>
        <item x="1"/>
        <item x="2"/>
      </items>
    </pivotField>
  </pivotFields>
  <rowFields count="1">
    <field x="16"/>
  </rowFields>
  <rowItems count="5">
    <i>
      <x/>
    </i>
    <i>
      <x v="1"/>
    </i>
    <i>
      <x v="2"/>
    </i>
    <i>
      <x v="3"/>
    </i>
    <i t="grand">
      <x/>
    </i>
  </rowItems>
  <colItems count="1">
    <i/>
  </colItems>
  <dataFields count="1">
    <dataField name="Sum of Profit" fld="23" baseField="16" baseItem="0" numFmtId="164"/>
  </dataFields>
  <chartFormats count="3">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6AC62C-F031-47AD-894B-9B568B0906D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29">
    <pivotField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items count="9">
        <item x="7"/>
        <item x="5"/>
        <item x="3"/>
        <item x="2"/>
        <item x="1"/>
        <item x="0"/>
        <item x="4"/>
        <item x="6"/>
        <item t="default"/>
      </items>
    </pivotField>
    <pivotField axis="axisRow" showAll="0">
      <items count="7">
        <item x="2"/>
        <item x="0"/>
        <item x="4"/>
        <item x="3"/>
        <item x="1"/>
        <item x="5"/>
        <item t="default"/>
      </items>
    </pivotField>
    <pivotField numFmtId="14" showAll="0"/>
    <pivotField showAll="0">
      <items count="4">
        <item x="0"/>
        <item x="1"/>
        <item x="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3">
        <item x="0"/>
        <item x="1"/>
        <item x="2"/>
      </items>
    </pivotField>
  </pivotFields>
  <rowFields count="1">
    <field x="11"/>
  </rowFields>
  <rowItems count="7">
    <i>
      <x/>
    </i>
    <i>
      <x v="1"/>
    </i>
    <i>
      <x v="2"/>
    </i>
    <i>
      <x v="3"/>
    </i>
    <i>
      <x v="4"/>
    </i>
    <i>
      <x v="5"/>
    </i>
    <i t="grand">
      <x/>
    </i>
  </rowItems>
  <colItems count="1">
    <i/>
  </colItems>
  <dataFields count="1">
    <dataField name="Sum of Total sales" fld="25" baseField="0" baseItem="0" numFmtId="164"/>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BDD99-29A1-4E34-B447-B0C105D15F3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C7" firstHeaderRow="0" firstDataRow="1" firstDataCol="1"/>
  <pivotFields count="29">
    <pivotField showAll="0"/>
    <pivotField numFmtId="14" showAll="0">
      <items count="248">
        <item x="198"/>
        <item x="222"/>
        <item x="103"/>
        <item x="235"/>
        <item x="19"/>
        <item x="115"/>
        <item x="139"/>
        <item x="206"/>
        <item x="5"/>
        <item x="33"/>
        <item x="101"/>
        <item x="211"/>
        <item x="62"/>
        <item x="150"/>
        <item x="94"/>
        <item x="234"/>
        <item x="148"/>
        <item x="23"/>
        <item x="183"/>
        <item x="244"/>
        <item x="224"/>
        <item x="195"/>
        <item x="119"/>
        <item x="1"/>
        <item x="31"/>
        <item x="203"/>
        <item x="12"/>
        <item x="20"/>
        <item x="200"/>
        <item x="58"/>
        <item x="192"/>
        <item x="65"/>
        <item x="218"/>
        <item x="117"/>
        <item x="154"/>
        <item x="59"/>
        <item x="205"/>
        <item x="40"/>
        <item x="212"/>
        <item x="230"/>
        <item x="181"/>
        <item x="213"/>
        <item x="99"/>
        <item x="197"/>
        <item x="221"/>
        <item x="85"/>
        <item x="54"/>
        <item x="180"/>
        <item x="53"/>
        <item x="2"/>
        <item x="13"/>
        <item x="177"/>
        <item x="63"/>
        <item x="80"/>
        <item x="50"/>
        <item x="202"/>
        <item x="108"/>
        <item x="189"/>
        <item x="47"/>
        <item x="149"/>
        <item x="51"/>
        <item x="25"/>
        <item x="141"/>
        <item x="10"/>
        <item x="17"/>
        <item x="157"/>
        <item x="215"/>
        <item x="126"/>
        <item x="129"/>
        <item x="114"/>
        <item x="191"/>
        <item x="232"/>
        <item x="121"/>
        <item x="161"/>
        <item x="73"/>
        <item x="82"/>
        <item x="111"/>
        <item x="174"/>
        <item x="106"/>
        <item x="238"/>
        <item x="26"/>
        <item x="242"/>
        <item x="132"/>
        <item x="182"/>
        <item x="125"/>
        <item x="15"/>
        <item x="156"/>
        <item x="199"/>
        <item x="81"/>
        <item x="52"/>
        <item x="240"/>
        <item x="146"/>
        <item x="123"/>
        <item x="27"/>
        <item x="118"/>
        <item x="46"/>
        <item x="143"/>
        <item x="196"/>
        <item x="69"/>
        <item x="136"/>
        <item x="220"/>
        <item x="140"/>
        <item x="79"/>
        <item x="151"/>
        <item x="90"/>
        <item x="219"/>
        <item x="42"/>
        <item x="227"/>
        <item x="246"/>
        <item x="137"/>
        <item x="130"/>
        <item x="84"/>
        <item x="245"/>
        <item x="36"/>
        <item x="38"/>
        <item x="208"/>
        <item x="0"/>
        <item x="239"/>
        <item x="24"/>
        <item x="45"/>
        <item x="61"/>
        <item x="95"/>
        <item x="167"/>
        <item x="98"/>
        <item x="39"/>
        <item x="28"/>
        <item x="135"/>
        <item x="153"/>
        <item x="91"/>
        <item x="120"/>
        <item x="71"/>
        <item x="105"/>
        <item x="104"/>
        <item x="145"/>
        <item x="64"/>
        <item x="122"/>
        <item x="110"/>
        <item x="56"/>
        <item x="55"/>
        <item x="210"/>
        <item x="236"/>
        <item x="152"/>
        <item x="32"/>
        <item x="173"/>
        <item x="186"/>
        <item x="175"/>
        <item x="16"/>
        <item x="194"/>
        <item x="237"/>
        <item x="193"/>
        <item x="66"/>
        <item x="74"/>
        <item x="165"/>
        <item x="29"/>
        <item x="138"/>
        <item x="155"/>
        <item x="113"/>
        <item x="112"/>
        <item x="233"/>
        <item x="89"/>
        <item x="209"/>
        <item x="97"/>
        <item x="107"/>
        <item x="9"/>
        <item x="76"/>
        <item x="241"/>
        <item x="68"/>
        <item x="102"/>
        <item x="142"/>
        <item x="228"/>
        <item x="179"/>
        <item x="88"/>
        <item x="128"/>
        <item x="3"/>
        <item x="225"/>
        <item x="184"/>
        <item x="190"/>
        <item x="124"/>
        <item x="96"/>
        <item x="14"/>
        <item x="231"/>
        <item x="158"/>
        <item x="92"/>
        <item x="159"/>
        <item x="37"/>
        <item x="187"/>
        <item x="163"/>
        <item x="87"/>
        <item x="178"/>
        <item x="229"/>
        <item x="204"/>
        <item x="188"/>
        <item x="60"/>
        <item x="7"/>
        <item x="164"/>
        <item x="77"/>
        <item x="160"/>
        <item x="166"/>
        <item x="30"/>
        <item x="201"/>
        <item x="22"/>
        <item x="34"/>
        <item x="11"/>
        <item x="48"/>
        <item x="67"/>
        <item x="223"/>
        <item x="134"/>
        <item x="72"/>
        <item x="243"/>
        <item x="49"/>
        <item x="185"/>
        <item x="217"/>
        <item x="133"/>
        <item x="86"/>
        <item x="176"/>
        <item x="168"/>
        <item x="21"/>
        <item x="147"/>
        <item x="100"/>
        <item x="78"/>
        <item x="70"/>
        <item x="172"/>
        <item x="214"/>
        <item x="18"/>
        <item x="169"/>
        <item x="41"/>
        <item x="6"/>
        <item x="116"/>
        <item x="144"/>
        <item x="43"/>
        <item x="226"/>
        <item x="127"/>
        <item x="162"/>
        <item x="4"/>
        <item x="171"/>
        <item x="35"/>
        <item x="57"/>
        <item x="207"/>
        <item x="75"/>
        <item x="8"/>
        <item x="109"/>
        <item x="83"/>
        <item x="216"/>
        <item x="131"/>
        <item x="170"/>
        <item x="93"/>
        <item x="44"/>
        <item t="default"/>
      </items>
    </pivotField>
    <pivotField showAll="0"/>
    <pivotField showAll="0"/>
    <pivotField showAll="0"/>
    <pivotField showAll="0">
      <items count="5">
        <item x="3"/>
        <item x="2"/>
        <item x="1"/>
        <item x="0"/>
        <item t="default"/>
      </items>
    </pivotField>
    <pivotField showAll="0"/>
    <pivotField showAll="0"/>
    <pivotField showAll="0">
      <items count="3">
        <item x="1"/>
        <item x="0"/>
        <item t="default"/>
      </items>
    </pivotField>
    <pivotField showAll="0"/>
    <pivotField showAll="0">
      <items count="9">
        <item x="7"/>
        <item x="5"/>
        <item x="3"/>
        <item x="2"/>
        <item x="1"/>
        <item x="0"/>
        <item x="4"/>
        <item x="6"/>
        <item t="default"/>
      </items>
    </pivotField>
    <pivotField showAll="0">
      <items count="7">
        <item x="2"/>
        <item x="0"/>
        <item x="4"/>
        <item x="3"/>
        <item x="1"/>
        <item x="5"/>
        <item t="default"/>
      </items>
    </pivotField>
    <pivotField numFmtId="14" showAll="0"/>
    <pivotField axis="axisRow" showAll="0">
      <items count="4">
        <item x="0"/>
        <item x="1"/>
        <item x="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defaultSubtotal="0"/>
    <pivotField showAll="0" defaultSubtotal="0">
      <items count="3">
        <item x="0"/>
        <item x="1"/>
        <item x="2"/>
      </items>
    </pivotField>
  </pivotFields>
  <rowFields count="1">
    <field x="13"/>
  </rowFields>
  <rowItems count="4">
    <i>
      <x/>
    </i>
    <i>
      <x v="1"/>
    </i>
    <i>
      <x v="2"/>
    </i>
    <i t="grand">
      <x/>
    </i>
  </rowItems>
  <colFields count="1">
    <field x="-2"/>
  </colFields>
  <colItems count="2">
    <i>
      <x/>
    </i>
    <i i="1">
      <x v="1"/>
    </i>
  </colItems>
  <dataFields count="2">
    <dataField name="Sum of Total sales" fld="25" baseField="0" baseItem="0" numFmtId="164"/>
    <dataField name="Sum of Profit" fld="23" baseField="0" baseItem="0" numFmtId="164"/>
  </dataFields>
  <chartFormats count="4">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4D7568C-0DCC-4963-8396-E97325A5779A}" autoFormatId="16" applyNumberFormats="0" applyBorderFormats="0" applyFontFormats="0" applyPatternFormats="0" applyAlignmentFormats="0" applyWidthHeightFormats="0">
  <queryTableRefresh nextId="29">
    <queryTableFields count="27">
      <queryTableField id="1" name="Order_ID" tableColumnId="1"/>
      <queryTableField id="2" name="Order_Date" tableColumnId="2"/>
      <queryTableField id="3" name="Customer_ID" tableColumnId="3"/>
      <queryTableField id="4" name="Product_ID" tableColumnId="4"/>
      <queryTableField id="5" name="Quantity" tableColumnId="5"/>
      <queryTableField id="6" name="Payment_Mode" tableColumnId="6"/>
      <queryTableField id="7" name="Discount_Percentage" tableColumnId="7"/>
      <queryTableField id="8" name="Customer_name" tableColumnId="8"/>
      <queryTableField id="9" name="Gender" tableColumnId="9"/>
      <queryTableField id="10" name="Age" tableColumnId="10"/>
      <queryTableField id="11" name="City" tableColumnId="11"/>
      <queryTableField id="12" name="State" tableColumnId="12"/>
      <queryTableField id="13" name="Join_Date" tableColumnId="13"/>
      <queryTableField id="14" name="Customer_Segment" tableColumnId="14"/>
      <queryTableField id="15" name="Product_Name" tableColumnId="15"/>
      <queryTableField id="16" name="Category" tableColumnId="16"/>
      <queryTableField id="17" name="Brand" tableColumnId="17"/>
      <queryTableField id="18" name="Cost_Price" tableColumnId="18"/>
      <queryTableField id="19" name="Selling_Price" tableColumnId="19"/>
      <queryTableField id="20" name="Stock_Quantity" tableColumnId="20"/>
      <queryTableField id="21" name="Total_Amount" tableColumnId="21"/>
      <queryTableField id="22" name="Discount_Amount" tableColumnId="22"/>
      <queryTableField id="23" name="Final_Sales" tableColumnId="23"/>
      <queryTableField id="24" name="Profit" tableColumnId="24"/>
      <queryTableField id="25" name="Sales_Region" tableColumnId="25"/>
      <queryTableField id="26" name="Total sales" tableColumnId="26"/>
      <queryTableField id="27" name="profitt"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A485502-12EA-4FC1-B167-D5F776B9D584}" sourceName="Payment_Mode">
  <pivotTables>
    <pivotTable tabId="8" name="PivotTable6"/>
    <pivotTable tabId="3" name="PivotTable1"/>
    <pivotTable tabId="6" name="PivotTable4"/>
    <pivotTable tabId="7" name="PivotTable5"/>
    <pivotTable tabId="3" name="PivotTable2"/>
    <pivotTable tabId="4" name="PivotTable2"/>
    <pivotTable tabId="5" name="PivotTable3"/>
  </pivotTables>
  <data>
    <tabular pivotCacheId="56829269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51CCE3-F281-4B10-9C75-FA5BE4D16238}" sourceName="City">
  <pivotTables>
    <pivotTable tabId="8" name="PivotTable6"/>
    <pivotTable tabId="3" name="PivotTable1"/>
    <pivotTable tabId="4" name="PivotTable2"/>
    <pivotTable tabId="5" name="PivotTable3"/>
    <pivotTable tabId="6" name="PivotTable4"/>
    <pivotTable tabId="7" name="PivotTable5"/>
  </pivotTables>
  <data>
    <tabular pivotCacheId="568292695">
      <items count="8">
        <i x="7" s="1"/>
        <i x="5" s="1"/>
        <i x="3" s="1"/>
        <i x="2" s="1"/>
        <i x="1" s="1"/>
        <i x="0"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D95AF23-F55D-4A4E-9165-CEBBC4262471}" sourceName="Customer_Segment">
  <pivotTables>
    <pivotTable tabId="8" name="PivotTable6"/>
    <pivotTable tabId="3" name="PivotTable1"/>
    <pivotTable tabId="4" name="PivotTable2"/>
    <pivotTable tabId="5" name="PivotTable3"/>
    <pivotTable tabId="6" name="PivotTable4"/>
    <pivotTable tabId="7" name="PivotTable5"/>
    <pivotTable tabId="3" name="PivotTable2"/>
  </pivotTables>
  <data>
    <tabular pivotCacheId="5682926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66E2DB-3D58-48E8-AD74-F51A5003D8C8}" sourceName="Category">
  <pivotTables>
    <pivotTable tabId="8" name="PivotTable6"/>
    <pivotTable tabId="3" name="PivotTable1"/>
    <pivotTable tabId="4" name="PivotTable2"/>
    <pivotTable tabId="5" name="PivotTable3"/>
    <pivotTable tabId="6" name="PivotTable4"/>
    <pivotTable tabId="7" name="PivotTable5"/>
    <pivotTable tabId="3" name="PivotTable2"/>
  </pivotTables>
  <data>
    <tabular pivotCacheId="568292695">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DA8F96-A0DF-474C-AE1E-A68EC6F03596}" sourceName="Gender">
  <pivotTables>
    <pivotTable tabId="8" name="PivotTable6"/>
  </pivotTables>
  <data>
    <tabular pivotCacheId="568292695">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919D257-E5BB-4A46-A2F3-B535CED39C28}" sourceName="State">
  <pivotTables>
    <pivotTable tabId="7" name="PivotTable5"/>
    <pivotTable tabId="3" name="PivotTable1"/>
    <pivotTable tabId="3" name="PivotTable2"/>
    <pivotTable tabId="4" name="PivotTable2"/>
    <pivotTable tabId="5" name="PivotTable3"/>
    <pivotTable tabId="6" name="PivotTable4"/>
    <pivotTable tabId="8" name="PivotTable6"/>
  </pivotTables>
  <data>
    <tabular pivotCacheId="568292695">
      <items count="6">
        <i x="2" s="1"/>
        <i x="0" s="1"/>
        <i x="4"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0193E13E-2CE1-4443-9291-300BAB736D76}" cache="Slicer_Payment_Mode" caption="Payment_Mode" columnCount="2" rowHeight="180000"/>
  <slicer name="City" xr10:uid="{02D48E70-E33E-4E66-A7BD-BA1AA356579D}" cache="Slicer_City" caption="City" columnCount="2" rowHeight="180000"/>
  <slicer name="Customer_Segment" xr10:uid="{A9A12277-2170-4087-A5C5-B6F1B3836DF4}" cache="Slicer_Customer_Segment" caption="Customer_Segment" rowHeight="180000"/>
  <slicer name="Customer_Segment 2" xr10:uid="{157DB79A-95F9-45A5-9E0F-EFE4348F2F36}" cache="Slicer_Customer_Segment" caption="Customer_Segment" rowHeight="247650"/>
  <slicer name="Category" xr10:uid="{B0ED65E5-73B5-42D9-BD00-28C1B61EF165}" cache="Slicer_Category" caption="Category" rowHeight="180000"/>
  <slicer name="Category 2" xr10:uid="{1D0FB69E-E63E-4635-A1E1-C495083E9CDA}" cache="Slicer_Category" caption="Category" rowHeight="247650"/>
  <slicer name="Gender" xr10:uid="{AC16D95C-4AC2-48E8-ACA1-E3E2A34355D4}" cache="Slicer_Gender" caption="Gender" rowHeight="247650"/>
  <slicer name="State" xr10:uid="{7F7A7C6A-F1B4-4663-87A6-2A8BD4AB5248}" cache="Slicer_State1"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1" xr10:uid="{85BAAD9D-3569-4FB8-9CB7-65883B152978}" cache="Slicer_Payment_Mode" caption="Payment_Mode" columnCount="2" style="SlicerStyleDark1" rowHeight="396000"/>
  <slicer name="Customer_Segment 1" xr10:uid="{F2B1BDF6-D035-4CA5-823E-DCFD6A1FB323}" cache="Slicer_Customer_Segment" caption="Customer_Segment" style="SlicerStyleDark1" rowHeight="360000"/>
  <slicer name="Category 1" xr10:uid="{E99ABEF6-5B73-4862-8BF8-D9AEFFC43B2A}" cache="Slicer_Category" caption="Category" style="SlicerStyleDark1" rowHeight="360000"/>
  <slicer name="State 1" xr10:uid="{B3EA66F8-E257-4A36-AAC4-01E65F473CC1}" cache="Slicer_State1" caption="State" style="SlicerStyleDark1"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6924A-3069-4DFB-8587-A73E0102280C}" name="Table1" displayName="Table1" ref="A3:AA403" totalsRowShown="0">
  <autoFilter ref="A3:AA403" xr:uid="{7D76924A-3069-4DFB-8587-A73E0102280C}"/>
  <tableColumns count="27">
    <tableColumn id="1" xr3:uid="{24C68557-B1E4-4760-8536-D94607F5ACB4}" name="Order_ID"/>
    <tableColumn id="2" xr3:uid="{3C9BF88D-ADA4-4E40-854D-2E009F6C2A5C}" name="Order_Date" dataDxfId="22"/>
    <tableColumn id="3" xr3:uid="{89AE5ADA-8DA1-4A78-A61E-FFAC370C5DD6}" name="Customer_ID"/>
    <tableColumn id="4" xr3:uid="{8781CF20-3733-4718-AB42-C896F9A61E2F}" name="Product_ID"/>
    <tableColumn id="5" xr3:uid="{0969F92E-3198-470D-90A7-C03377AB80EB}" name="Quantity"/>
    <tableColumn id="6" xr3:uid="{F152EA6F-3E69-4026-9C1A-709D537BE1D8}" name="Payment_Mode"/>
    <tableColumn id="7" xr3:uid="{EB986BA0-C995-4EE8-86BA-7EB7F5B4D272}" name="Discount_Percentage"/>
    <tableColumn id="8" xr3:uid="{837974E4-05D0-4A4F-8458-34C6E9E115B7}" name="Customer_name"/>
    <tableColumn id="9" xr3:uid="{58AF6B30-157D-49D2-805F-30FFA2F00568}" name="Gender"/>
    <tableColumn id="10" xr3:uid="{661DA970-E8A1-40D9-AB8A-7316BA899666}" name="Age"/>
    <tableColumn id="11" xr3:uid="{C7C515D7-998C-40ED-A44D-19043E24F18A}" name="City"/>
    <tableColumn id="12" xr3:uid="{D9D22DAB-6889-4698-9F1E-6E848128B7FC}" name="State"/>
    <tableColumn id="13" xr3:uid="{27381AA4-2958-4A72-9BDB-45530302E6BE}" name="Join_Date" dataDxfId="21"/>
    <tableColumn id="14" xr3:uid="{28429B4E-3829-4192-98E9-A7A2A4E131A0}" name="Customer_Segment"/>
    <tableColumn id="15" xr3:uid="{C270A671-D313-4F53-9344-B8AFE424DD80}" name="Product_Name"/>
    <tableColumn id="16" xr3:uid="{96CE33DC-A47B-4099-8B83-BCF5F6EF7507}" name="Category"/>
    <tableColumn id="17" xr3:uid="{62ADC1A5-1A85-4D61-B00D-46DC805DEC0B}" name="Brand"/>
    <tableColumn id="18" xr3:uid="{848C207F-5AE7-42B9-81BC-7C049EA53EFA}" name="Cost_Price"/>
    <tableColumn id="19" xr3:uid="{A504229D-7AA4-4923-9887-035A717A3700}" name="Selling_Price"/>
    <tableColumn id="20" xr3:uid="{398EEAD2-9854-4406-814C-D6CE6C2ACBFE}" name="Stock_Quantity"/>
    <tableColumn id="21" xr3:uid="{C0EE05E8-D49B-45BC-B72C-C60583AC5B23}" name="Total_Amount"/>
    <tableColumn id="22" xr3:uid="{FB96BED6-97B3-4C4C-813C-805C6F79AD27}" name="Discount_Amount"/>
    <tableColumn id="23" xr3:uid="{E6801439-B1F8-4785-8E3A-337B62AC8C46}" name="Final_Sales"/>
    <tableColumn id="24" xr3:uid="{763E4220-DD01-4876-848E-AD7C0531D24F}" name="Profit"/>
    <tableColumn id="25" xr3:uid="{BBD52DD7-6936-412C-99B2-F2F94AD65ECC}" name="Sales_Region"/>
    <tableColumn id="26" xr3:uid="{025A0D22-482C-41E2-A87F-A9CB0E2CB809}" name="Total sales"/>
    <tableColumn id="27" xr3:uid="{21BD6E0D-1DEE-4B63-BA51-B4C0EEE7DF8F}" name="profit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AE3A3F-4E05-4BAC-930F-6653FFDBC865}" name="Orders" displayName="Orders" ref="A1:AA401" tableType="queryTable" totalsRowShown="0">
  <autoFilter ref="A1:AA401" xr:uid="{82AE3A3F-4E05-4BAC-930F-6653FFDBC865}"/>
  <tableColumns count="27">
    <tableColumn id="1" xr3:uid="{FA255275-C0AC-4330-B55B-73D26EB233F1}" uniqueName="1" name="Order_ID" queryTableFieldId="1" dataDxfId="20"/>
    <tableColumn id="2" xr3:uid="{E09F4E3B-BDC3-45B6-A273-5D088EDB3319}" uniqueName="2" name="Order_Date" queryTableFieldId="2" dataDxfId="19"/>
    <tableColumn id="3" xr3:uid="{71371C85-FDD3-497E-9C33-EA89120B6E1F}" uniqueName="3" name="Customer_ID" queryTableFieldId="3" dataDxfId="18"/>
    <tableColumn id="4" xr3:uid="{7C1B1A71-B2E5-4236-824A-6AD128566C9A}" uniqueName="4" name="Product_ID" queryTableFieldId="4" dataDxfId="17"/>
    <tableColumn id="5" xr3:uid="{CE44CBF0-468F-4BF7-B221-690BCC25FEC0}" uniqueName="5" name="Quantity" queryTableFieldId="5"/>
    <tableColumn id="6" xr3:uid="{388CE46E-D40B-4AC5-8ADF-0F06B2B20B68}" uniqueName="6" name="Payment_Mode" queryTableFieldId="6" dataDxfId="16"/>
    <tableColumn id="7" xr3:uid="{52035B5A-5453-4C8F-BCC6-8057B881D549}" uniqueName="7" name="Discount_Percentage" queryTableFieldId="7"/>
    <tableColumn id="8" xr3:uid="{313F5A91-B8B0-427C-A88B-E56BDEAD9817}" uniqueName="8" name="Customer_name" queryTableFieldId="8" dataDxfId="15"/>
    <tableColumn id="9" xr3:uid="{C4990218-7113-41D5-8BF6-B725D2478E09}" uniqueName="9" name="Gender" queryTableFieldId="9" dataDxfId="14"/>
    <tableColumn id="10" xr3:uid="{BEEEF70A-7ED3-41E9-AA8F-59F4467532C3}" uniqueName="10" name="Age" queryTableFieldId="10"/>
    <tableColumn id="11" xr3:uid="{353ADA1E-C298-428A-9855-997D80BE506D}" uniqueName="11" name="City" queryTableFieldId="11" dataDxfId="13"/>
    <tableColumn id="12" xr3:uid="{E52EE9B1-8B74-43B6-AE6C-ABAE09A73D02}" uniqueName="12" name="State" queryTableFieldId="12" dataDxfId="12"/>
    <tableColumn id="13" xr3:uid="{DB02AB6E-57CB-4BA8-B1F9-912FCA302903}" uniqueName="13" name="Join_Date" queryTableFieldId="13" dataDxfId="11"/>
    <tableColumn id="14" xr3:uid="{296B1E22-C6EE-4238-9466-DC970E9931BC}" uniqueName="14" name="Customer_Segment" queryTableFieldId="14" dataDxfId="10"/>
    <tableColumn id="15" xr3:uid="{79474F2F-9563-41F7-8141-1388A166F395}" uniqueName="15" name="Product_Name" queryTableFieldId="15" dataDxfId="9"/>
    <tableColumn id="16" xr3:uid="{3E78F466-2395-4987-BBC3-C098361F8EA7}" uniqueName="16" name="Category" queryTableFieldId="16" dataDxfId="8"/>
    <tableColumn id="17" xr3:uid="{0335EB6D-8928-4D7B-9DC3-DFE6B95CAE44}" uniqueName="17" name="Brand" queryTableFieldId="17" dataDxfId="7"/>
    <tableColumn id="18" xr3:uid="{FE0CA943-3804-40E1-BE6A-2D6E44337EC4}" uniqueName="18" name="Cost_Price" queryTableFieldId="18"/>
    <tableColumn id="19" xr3:uid="{AECDF27A-A56C-4EBA-805B-BC97F8D2495B}" uniqueName="19" name="Selling_Price" queryTableFieldId="19"/>
    <tableColumn id="20" xr3:uid="{F4B08EE1-5DF2-4100-9D39-B306673EF0B6}" uniqueName="20" name="Stock_Quantity" queryTableFieldId="20"/>
    <tableColumn id="21" xr3:uid="{8D3D498E-1468-4407-A2CD-26853C7A4486}" uniqueName="21" name="Total_Amount" queryTableFieldId="21"/>
    <tableColumn id="22" xr3:uid="{3CFB95BD-7682-4952-A2E4-54013592F9FE}" uniqueName="22" name="Discount_Amount" queryTableFieldId="22"/>
    <tableColumn id="23" xr3:uid="{37CC68DB-6690-4EC7-BA0F-9EC9BC5A6F9E}" uniqueName="23" name="Final_Sales" queryTableFieldId="23"/>
    <tableColumn id="24" xr3:uid="{BF787211-3AC7-44DD-81F7-FDA83C60E399}" uniqueName="24" name="Profit" queryTableFieldId="24"/>
    <tableColumn id="25" xr3:uid="{CD04737F-55E7-4801-8BF1-EC0A926B1650}" uniqueName="25" name="Sales_Region" queryTableFieldId="25" dataDxfId="6"/>
    <tableColumn id="26" xr3:uid="{755DC372-F79C-48B0-8040-80797B2CD62B}" uniqueName="26" name="Total sales" queryTableFieldId="26"/>
    <tableColumn id="27" xr3:uid="{BDDD8AA2-7F42-4626-A687-AC33D1B69507}" uniqueName="27" name="profitt" queryTableField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7F8879-4383-4589-8A90-A8969F634626}" sourceName="Order_Date">
  <pivotTables>
    <pivotTable tabId="8" name="PivotTable6"/>
    <pivotTable tabId="3" name="PivotTable1"/>
    <pivotTable tabId="4" name="PivotTable2"/>
    <pivotTable tabId="5" name="PivotTable3"/>
    <pivotTable tabId="6" name="PivotTable4"/>
    <pivotTable tabId="7" name="PivotTable5"/>
  </pivotTables>
  <state minimalRefreshVersion="6" lastRefreshVersion="6" pivotCacheId="56829269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A98B5F4-1752-4A6A-B7DE-17018C61F23B}" cache="Nativ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7.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F0233-CF46-4625-A4C2-6D438E015E45}">
  <sheetPr codeName="Sheet1"/>
  <dimension ref="A1:AA403"/>
  <sheetViews>
    <sheetView workbookViewId="0">
      <selection activeCell="A3" sqref="A3:AA403"/>
    </sheetView>
  </sheetViews>
  <sheetFormatPr defaultRowHeight="14.4" x14ac:dyDescent="0.3"/>
  <cols>
    <col min="1" max="1" width="10.5546875" bestFit="1" customWidth="1"/>
    <col min="2" max="2" width="12.6640625" bestFit="1" customWidth="1"/>
    <col min="3" max="3" width="13.88671875" bestFit="1" customWidth="1"/>
    <col min="4" max="4" width="12.33203125" bestFit="1" customWidth="1"/>
    <col min="5" max="5" width="10.33203125" bestFit="1" customWidth="1"/>
    <col min="6" max="6" width="16" bestFit="1" customWidth="1"/>
    <col min="7" max="7" width="20.88671875" bestFit="1" customWidth="1"/>
    <col min="8" max="8" width="16.88671875" bestFit="1" customWidth="1"/>
    <col min="9" max="9" width="9.33203125" bestFit="1" customWidth="1"/>
    <col min="10" max="10" width="9" bestFit="1" customWidth="1"/>
    <col min="11" max="11" width="10.44140625" bestFit="1" customWidth="1"/>
    <col min="12" max="12" width="11.21875" bestFit="1" customWidth="1"/>
    <col min="13" max="13" width="11.109375" bestFit="1" customWidth="1"/>
    <col min="14" max="14" width="19.6640625" bestFit="1" customWidth="1"/>
    <col min="15" max="15" width="15.6640625" bestFit="1" customWidth="1"/>
    <col min="16" max="16" width="10.5546875" bestFit="1" customWidth="1"/>
    <col min="17" max="17" width="9" bestFit="1" customWidth="1"/>
    <col min="18" max="18" width="12.109375" bestFit="1" customWidth="1"/>
    <col min="19" max="19" width="14" bestFit="1" customWidth="1"/>
    <col min="20" max="20" width="16" bestFit="1" customWidth="1"/>
    <col min="21" max="21" width="14.5546875" bestFit="1" customWidth="1"/>
    <col min="22" max="22" width="17.88671875" bestFit="1" customWidth="1"/>
    <col min="23" max="23" width="12.6640625" bestFit="1" customWidth="1"/>
    <col min="24" max="24" width="9" bestFit="1" customWidth="1"/>
    <col min="25" max="25" width="14.109375" bestFit="1" customWidth="1"/>
    <col min="26" max="26" width="12" bestFit="1" customWidth="1"/>
    <col min="27" max="27" width="9" bestFit="1" customWidth="1"/>
  </cols>
  <sheetData>
    <row r="1" spans="1:27" x14ac:dyDescent="0.3">
      <c r="A1" s="10" t="s">
        <v>982</v>
      </c>
    </row>
    <row r="3" spans="1:2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978</v>
      </c>
      <c r="AA3" t="s">
        <v>979</v>
      </c>
    </row>
    <row r="4" spans="1:27" x14ac:dyDescent="0.3">
      <c r="A4" t="s">
        <v>25</v>
      </c>
      <c r="B4" s="1">
        <v>45103</v>
      </c>
      <c r="C4" t="s">
        <v>26</v>
      </c>
      <c r="D4" t="s">
        <v>27</v>
      </c>
      <c r="E4">
        <v>2</v>
      </c>
      <c r="F4" t="s">
        <v>28</v>
      </c>
      <c r="G4">
        <v>8</v>
      </c>
      <c r="H4" t="s">
        <v>29</v>
      </c>
      <c r="I4" t="s">
        <v>30</v>
      </c>
      <c r="J4">
        <v>60</v>
      </c>
      <c r="K4" t="s">
        <v>31</v>
      </c>
      <c r="L4" t="s">
        <v>32</v>
      </c>
      <c r="M4" s="1">
        <v>45672</v>
      </c>
      <c r="N4" t="s">
        <v>33</v>
      </c>
      <c r="O4" t="s">
        <v>34</v>
      </c>
      <c r="P4" t="s">
        <v>35</v>
      </c>
      <c r="Q4" t="s">
        <v>36</v>
      </c>
      <c r="R4">
        <v>4318.8599999999997</v>
      </c>
      <c r="S4">
        <v>4880.6400000000003</v>
      </c>
      <c r="T4">
        <v>149</v>
      </c>
      <c r="U4">
        <v>9025.2099999999991</v>
      </c>
      <c r="V4">
        <v>976.1</v>
      </c>
      <c r="W4">
        <v>8049.11</v>
      </c>
      <c r="X4">
        <v>4864.4799999999996</v>
      </c>
      <c r="Y4" t="s">
        <v>37</v>
      </c>
      <c r="Z4">
        <v>9761.2800000000007</v>
      </c>
      <c r="AA4">
        <v>1123.5600000000013</v>
      </c>
    </row>
    <row r="5" spans="1:27" x14ac:dyDescent="0.3">
      <c r="A5" t="s">
        <v>38</v>
      </c>
      <c r="B5" s="1">
        <v>44960</v>
      </c>
      <c r="C5" t="s">
        <v>39</v>
      </c>
      <c r="D5" t="s">
        <v>40</v>
      </c>
      <c r="E5">
        <v>4</v>
      </c>
      <c r="F5" t="s">
        <v>28</v>
      </c>
      <c r="G5">
        <v>5</v>
      </c>
      <c r="H5" t="s">
        <v>41</v>
      </c>
      <c r="I5" t="s">
        <v>30</v>
      </c>
      <c r="J5">
        <v>46</v>
      </c>
      <c r="K5" t="s">
        <v>42</v>
      </c>
      <c r="L5" t="s">
        <v>43</v>
      </c>
      <c r="M5" s="1">
        <v>45223</v>
      </c>
      <c r="N5" t="s">
        <v>44</v>
      </c>
      <c r="O5" t="s">
        <v>45</v>
      </c>
      <c r="P5" t="s">
        <v>35</v>
      </c>
      <c r="Q5" t="s">
        <v>46</v>
      </c>
      <c r="R5">
        <v>1093.9000000000001</v>
      </c>
      <c r="S5">
        <v>1507.34</v>
      </c>
      <c r="T5">
        <v>11</v>
      </c>
      <c r="U5">
        <v>19967.59</v>
      </c>
      <c r="V5">
        <v>81.7</v>
      </c>
      <c r="W5">
        <v>19885.89</v>
      </c>
      <c r="X5">
        <v>3963.39</v>
      </c>
      <c r="Y5" t="s">
        <v>47</v>
      </c>
      <c r="Z5">
        <v>6029.36</v>
      </c>
      <c r="AA5">
        <v>1653.7599999999993</v>
      </c>
    </row>
    <row r="6" spans="1:27" x14ac:dyDescent="0.3">
      <c r="A6" t="s">
        <v>48</v>
      </c>
      <c r="B6" s="1">
        <v>44997</v>
      </c>
      <c r="C6" t="s">
        <v>49</v>
      </c>
      <c r="D6" t="s">
        <v>50</v>
      </c>
      <c r="E6">
        <v>3</v>
      </c>
      <c r="F6" t="s">
        <v>51</v>
      </c>
      <c r="G6">
        <v>0</v>
      </c>
      <c r="H6" t="s">
        <v>52</v>
      </c>
      <c r="I6" t="s">
        <v>30</v>
      </c>
      <c r="J6">
        <v>24</v>
      </c>
      <c r="K6" t="s">
        <v>53</v>
      </c>
      <c r="L6" t="s">
        <v>43</v>
      </c>
      <c r="M6" s="1">
        <v>45721</v>
      </c>
      <c r="N6" t="s">
        <v>54</v>
      </c>
      <c r="O6" t="s">
        <v>55</v>
      </c>
      <c r="P6" t="s">
        <v>35</v>
      </c>
      <c r="Q6" t="s">
        <v>46</v>
      </c>
      <c r="R6">
        <v>3612.18</v>
      </c>
      <c r="S6">
        <v>3996.91</v>
      </c>
      <c r="T6">
        <v>92</v>
      </c>
      <c r="U6">
        <v>3157.46</v>
      </c>
      <c r="V6">
        <v>599.99</v>
      </c>
      <c r="W6">
        <v>2557.4699999999998</v>
      </c>
      <c r="X6">
        <v>930.64</v>
      </c>
      <c r="Y6" t="s">
        <v>56</v>
      </c>
      <c r="Z6">
        <v>11990.73</v>
      </c>
      <c r="AA6">
        <v>1154.19</v>
      </c>
    </row>
    <row r="7" spans="1:27" x14ac:dyDescent="0.3">
      <c r="A7" t="s">
        <v>57</v>
      </c>
      <c r="B7" s="1">
        <v>45181</v>
      </c>
      <c r="C7" t="s">
        <v>58</v>
      </c>
      <c r="D7" t="s">
        <v>40</v>
      </c>
      <c r="E7">
        <v>4</v>
      </c>
      <c r="F7" t="s">
        <v>51</v>
      </c>
      <c r="G7">
        <v>23</v>
      </c>
      <c r="H7" t="s">
        <v>59</v>
      </c>
      <c r="I7" t="s">
        <v>30</v>
      </c>
      <c r="J7">
        <v>25</v>
      </c>
      <c r="K7" t="s">
        <v>60</v>
      </c>
      <c r="L7" t="s">
        <v>53</v>
      </c>
      <c r="M7" s="1">
        <v>44898</v>
      </c>
      <c r="N7" t="s">
        <v>44</v>
      </c>
      <c r="O7" t="s">
        <v>45</v>
      </c>
      <c r="P7" t="s">
        <v>35</v>
      </c>
      <c r="Q7" t="s">
        <v>46</v>
      </c>
      <c r="R7">
        <v>1093.9000000000001</v>
      </c>
      <c r="S7">
        <v>1507.34</v>
      </c>
      <c r="T7">
        <v>11</v>
      </c>
      <c r="U7">
        <v>1080.02</v>
      </c>
      <c r="V7">
        <v>82.42</v>
      </c>
      <c r="W7">
        <v>997.6</v>
      </c>
      <c r="X7">
        <v>2165.17</v>
      </c>
      <c r="Y7" t="s">
        <v>47</v>
      </c>
      <c r="Z7">
        <v>6029.36</v>
      </c>
      <c r="AA7">
        <v>1653.7599999999993</v>
      </c>
    </row>
    <row r="8" spans="1:27" x14ac:dyDescent="0.3">
      <c r="A8" t="s">
        <v>61</v>
      </c>
      <c r="B8" s="1">
        <v>45272</v>
      </c>
      <c r="C8" t="s">
        <v>62</v>
      </c>
      <c r="D8" t="s">
        <v>63</v>
      </c>
      <c r="E8">
        <v>4</v>
      </c>
      <c r="F8" t="s">
        <v>51</v>
      </c>
      <c r="G8">
        <v>19</v>
      </c>
      <c r="H8" t="s">
        <v>64</v>
      </c>
      <c r="I8" t="s">
        <v>30</v>
      </c>
      <c r="J8">
        <v>25</v>
      </c>
      <c r="K8" t="s">
        <v>65</v>
      </c>
      <c r="L8" t="s">
        <v>66</v>
      </c>
      <c r="M8" s="1">
        <v>44951</v>
      </c>
      <c r="N8" t="s">
        <v>54</v>
      </c>
      <c r="O8" t="s">
        <v>67</v>
      </c>
      <c r="P8" t="s">
        <v>68</v>
      </c>
      <c r="Q8" t="s">
        <v>46</v>
      </c>
      <c r="R8">
        <v>2961.83</v>
      </c>
      <c r="S8">
        <v>4189.8100000000004</v>
      </c>
      <c r="T8">
        <v>165</v>
      </c>
      <c r="U8">
        <v>15847.56</v>
      </c>
      <c r="V8">
        <v>3465</v>
      </c>
      <c r="W8">
        <v>12382.56</v>
      </c>
      <c r="X8">
        <v>1241.1500000000001</v>
      </c>
      <c r="Y8" t="s">
        <v>37</v>
      </c>
      <c r="Z8">
        <v>16759.240000000002</v>
      </c>
      <c r="AA8">
        <v>4911.9200000000019</v>
      </c>
    </row>
    <row r="9" spans="1:27" x14ac:dyDescent="0.3">
      <c r="A9" t="s">
        <v>69</v>
      </c>
      <c r="B9" s="1">
        <v>44936</v>
      </c>
      <c r="C9" t="s">
        <v>70</v>
      </c>
      <c r="D9" t="s">
        <v>71</v>
      </c>
      <c r="E9">
        <v>1</v>
      </c>
      <c r="F9" t="s">
        <v>51</v>
      </c>
      <c r="G9">
        <v>2</v>
      </c>
      <c r="H9" t="s">
        <v>72</v>
      </c>
      <c r="I9" t="s">
        <v>30</v>
      </c>
      <c r="J9">
        <v>56</v>
      </c>
      <c r="K9" t="s">
        <v>73</v>
      </c>
      <c r="L9" t="s">
        <v>32</v>
      </c>
      <c r="M9" s="1">
        <v>45619</v>
      </c>
      <c r="N9" t="s">
        <v>54</v>
      </c>
      <c r="O9" t="s">
        <v>74</v>
      </c>
      <c r="P9" t="s">
        <v>35</v>
      </c>
      <c r="Q9" t="s">
        <v>36</v>
      </c>
      <c r="R9">
        <v>3231.26</v>
      </c>
      <c r="S9">
        <v>4308.05</v>
      </c>
      <c r="T9">
        <v>21</v>
      </c>
      <c r="U9">
        <v>861.96</v>
      </c>
      <c r="V9">
        <v>160.43</v>
      </c>
      <c r="W9">
        <v>701.53</v>
      </c>
      <c r="X9">
        <v>4197.28</v>
      </c>
      <c r="Y9" t="s">
        <v>47</v>
      </c>
      <c r="Z9">
        <v>4308.05</v>
      </c>
      <c r="AA9">
        <v>1076.79</v>
      </c>
    </row>
    <row r="10" spans="1:27" x14ac:dyDescent="0.3">
      <c r="A10" t="s">
        <v>75</v>
      </c>
      <c r="B10" s="1">
        <v>45262</v>
      </c>
      <c r="C10" t="s">
        <v>76</v>
      </c>
      <c r="D10" t="s">
        <v>77</v>
      </c>
      <c r="E10">
        <v>2</v>
      </c>
      <c r="F10" t="s">
        <v>78</v>
      </c>
      <c r="G10">
        <v>6</v>
      </c>
      <c r="H10" t="s">
        <v>79</v>
      </c>
      <c r="I10" t="s">
        <v>80</v>
      </c>
      <c r="J10">
        <v>31</v>
      </c>
      <c r="K10" t="s">
        <v>42</v>
      </c>
      <c r="L10" t="s">
        <v>81</v>
      </c>
      <c r="M10" s="1">
        <v>44760</v>
      </c>
      <c r="N10" t="s">
        <v>33</v>
      </c>
      <c r="O10" t="s">
        <v>82</v>
      </c>
      <c r="P10" t="s">
        <v>35</v>
      </c>
      <c r="Q10" t="s">
        <v>46</v>
      </c>
      <c r="R10">
        <v>1607.82</v>
      </c>
      <c r="S10">
        <v>2197.14</v>
      </c>
      <c r="T10">
        <v>27</v>
      </c>
      <c r="U10">
        <v>10003.5</v>
      </c>
      <c r="V10">
        <v>2399.61</v>
      </c>
      <c r="W10">
        <v>7603.89</v>
      </c>
      <c r="X10">
        <v>1231.7</v>
      </c>
      <c r="Y10" t="s">
        <v>83</v>
      </c>
      <c r="Z10">
        <v>4394.28</v>
      </c>
      <c r="AA10">
        <v>1178.6399999999999</v>
      </c>
    </row>
    <row r="11" spans="1:27" x14ac:dyDescent="0.3">
      <c r="A11" t="s">
        <v>84</v>
      </c>
      <c r="B11" s="1">
        <v>45214</v>
      </c>
      <c r="C11" t="s">
        <v>85</v>
      </c>
      <c r="D11" t="s">
        <v>71</v>
      </c>
      <c r="E11">
        <v>5</v>
      </c>
      <c r="F11" t="s">
        <v>28</v>
      </c>
      <c r="G11">
        <v>0</v>
      </c>
      <c r="H11" t="s">
        <v>86</v>
      </c>
      <c r="I11" t="s">
        <v>80</v>
      </c>
      <c r="J11">
        <v>35</v>
      </c>
      <c r="K11" t="s">
        <v>73</v>
      </c>
      <c r="L11" t="s">
        <v>81</v>
      </c>
      <c r="M11" s="1">
        <v>45348</v>
      </c>
      <c r="N11" t="s">
        <v>33</v>
      </c>
      <c r="O11" t="s">
        <v>74</v>
      </c>
      <c r="P11" t="s">
        <v>35</v>
      </c>
      <c r="Q11" t="s">
        <v>36</v>
      </c>
      <c r="R11">
        <v>3231.26</v>
      </c>
      <c r="S11">
        <v>4308.05</v>
      </c>
      <c r="T11">
        <v>21</v>
      </c>
      <c r="U11">
        <v>15201.83</v>
      </c>
      <c r="V11">
        <v>2049.09</v>
      </c>
      <c r="W11">
        <v>13152.74</v>
      </c>
      <c r="X11">
        <v>3686.74</v>
      </c>
      <c r="Y11" t="s">
        <v>47</v>
      </c>
      <c r="Z11">
        <v>21540.25</v>
      </c>
      <c r="AA11">
        <v>5383.95</v>
      </c>
    </row>
    <row r="12" spans="1:27" x14ac:dyDescent="0.3">
      <c r="A12" t="s">
        <v>87</v>
      </c>
      <c r="B12" s="1">
        <v>45281</v>
      </c>
      <c r="C12" t="s">
        <v>88</v>
      </c>
      <c r="D12" t="s">
        <v>89</v>
      </c>
      <c r="E12">
        <v>5</v>
      </c>
      <c r="F12" t="s">
        <v>90</v>
      </c>
      <c r="G12">
        <v>9</v>
      </c>
      <c r="H12" t="s">
        <v>91</v>
      </c>
      <c r="I12" t="s">
        <v>80</v>
      </c>
      <c r="J12">
        <v>58</v>
      </c>
      <c r="K12" t="s">
        <v>92</v>
      </c>
      <c r="L12" t="s">
        <v>43</v>
      </c>
      <c r="M12" s="1">
        <v>45131</v>
      </c>
      <c r="N12" t="s">
        <v>33</v>
      </c>
      <c r="O12" t="s">
        <v>93</v>
      </c>
      <c r="P12" t="s">
        <v>94</v>
      </c>
      <c r="Q12" t="s">
        <v>46</v>
      </c>
      <c r="R12">
        <v>1290.44</v>
      </c>
      <c r="S12">
        <v>1756.94</v>
      </c>
      <c r="T12">
        <v>226</v>
      </c>
      <c r="U12">
        <v>5505.06</v>
      </c>
      <c r="V12">
        <v>915.5</v>
      </c>
      <c r="W12">
        <v>4589.5600000000004</v>
      </c>
      <c r="X12">
        <v>2395.66</v>
      </c>
      <c r="Y12" t="s">
        <v>47</v>
      </c>
      <c r="Z12">
        <v>8784.7000000000007</v>
      </c>
      <c r="AA12">
        <v>2332.5</v>
      </c>
    </row>
    <row r="13" spans="1:27" x14ac:dyDescent="0.3">
      <c r="A13" t="s">
        <v>95</v>
      </c>
      <c r="B13" s="1">
        <v>45167</v>
      </c>
      <c r="C13" t="s">
        <v>58</v>
      </c>
      <c r="D13" t="s">
        <v>71</v>
      </c>
      <c r="E13">
        <v>6</v>
      </c>
      <c r="F13" t="s">
        <v>28</v>
      </c>
      <c r="G13">
        <v>23</v>
      </c>
      <c r="H13" t="s">
        <v>59</v>
      </c>
      <c r="I13" t="s">
        <v>30</v>
      </c>
      <c r="J13">
        <v>25</v>
      </c>
      <c r="K13" t="s">
        <v>60</v>
      </c>
      <c r="L13" t="s">
        <v>53</v>
      </c>
      <c r="M13" s="1">
        <v>44898</v>
      </c>
      <c r="N13" t="s">
        <v>44</v>
      </c>
      <c r="O13" t="s">
        <v>74</v>
      </c>
      <c r="P13" t="s">
        <v>35</v>
      </c>
      <c r="Q13" t="s">
        <v>36</v>
      </c>
      <c r="R13">
        <v>3231.26</v>
      </c>
      <c r="S13">
        <v>4308.05</v>
      </c>
      <c r="T13">
        <v>21</v>
      </c>
      <c r="U13">
        <v>15138.64</v>
      </c>
      <c r="V13">
        <v>505.28</v>
      </c>
      <c r="W13">
        <v>14633.36</v>
      </c>
      <c r="X13">
        <v>2122.0300000000002</v>
      </c>
      <c r="Y13" t="s">
        <v>47</v>
      </c>
      <c r="Z13">
        <v>25848.300000000003</v>
      </c>
      <c r="AA13">
        <v>6460.74</v>
      </c>
    </row>
    <row r="14" spans="1:27" x14ac:dyDescent="0.3">
      <c r="A14" t="s">
        <v>96</v>
      </c>
      <c r="B14" s="1">
        <v>45020</v>
      </c>
      <c r="C14" t="s">
        <v>97</v>
      </c>
      <c r="D14" t="s">
        <v>98</v>
      </c>
      <c r="E14">
        <v>1</v>
      </c>
      <c r="F14" t="s">
        <v>28</v>
      </c>
      <c r="G14">
        <v>15</v>
      </c>
      <c r="H14" t="s">
        <v>99</v>
      </c>
      <c r="I14" t="s">
        <v>80</v>
      </c>
      <c r="J14">
        <v>27</v>
      </c>
      <c r="K14" t="s">
        <v>31</v>
      </c>
      <c r="L14" t="s">
        <v>32</v>
      </c>
      <c r="M14" s="1">
        <v>44637</v>
      </c>
      <c r="N14" t="s">
        <v>33</v>
      </c>
      <c r="O14" t="s">
        <v>100</v>
      </c>
      <c r="P14" t="s">
        <v>94</v>
      </c>
      <c r="Q14" t="s">
        <v>36</v>
      </c>
      <c r="R14">
        <v>4225.4799999999996</v>
      </c>
      <c r="S14">
        <v>6100.15</v>
      </c>
      <c r="T14">
        <v>279</v>
      </c>
      <c r="U14">
        <v>2566.3200000000002</v>
      </c>
      <c r="V14">
        <v>558.59</v>
      </c>
      <c r="W14">
        <v>2007.73</v>
      </c>
      <c r="X14">
        <v>3619.57</v>
      </c>
      <c r="Y14" t="s">
        <v>83</v>
      </c>
      <c r="Z14">
        <v>6100.15</v>
      </c>
      <c r="AA14">
        <v>1874.67</v>
      </c>
    </row>
    <row r="15" spans="1:27" x14ac:dyDescent="0.3">
      <c r="A15" t="s">
        <v>101</v>
      </c>
      <c r="B15" s="1">
        <v>45228</v>
      </c>
      <c r="C15" t="s">
        <v>39</v>
      </c>
      <c r="D15" t="s">
        <v>102</v>
      </c>
      <c r="E15">
        <v>4</v>
      </c>
      <c r="F15" t="s">
        <v>78</v>
      </c>
      <c r="G15">
        <v>15</v>
      </c>
      <c r="H15" t="s">
        <v>41</v>
      </c>
      <c r="I15" t="s">
        <v>30</v>
      </c>
      <c r="J15">
        <v>46</v>
      </c>
      <c r="K15" t="s">
        <v>42</v>
      </c>
      <c r="L15" t="s">
        <v>43</v>
      </c>
      <c r="M15" s="1">
        <v>45223</v>
      </c>
      <c r="N15" t="s">
        <v>44</v>
      </c>
      <c r="O15" t="s">
        <v>103</v>
      </c>
      <c r="P15" t="s">
        <v>94</v>
      </c>
      <c r="Q15" t="s">
        <v>46</v>
      </c>
      <c r="R15">
        <v>4398.43</v>
      </c>
      <c r="S15">
        <v>6683.28</v>
      </c>
      <c r="T15">
        <v>152</v>
      </c>
      <c r="U15">
        <v>7967.58</v>
      </c>
      <c r="V15">
        <v>1173.22</v>
      </c>
      <c r="W15">
        <v>6794.36</v>
      </c>
      <c r="X15">
        <v>3460.93</v>
      </c>
      <c r="Y15" t="s">
        <v>37</v>
      </c>
      <c r="Z15">
        <v>26733.119999999999</v>
      </c>
      <c r="AA15">
        <v>9139.3999999999978</v>
      </c>
    </row>
    <row r="16" spans="1:27" x14ac:dyDescent="0.3">
      <c r="A16" t="s">
        <v>104</v>
      </c>
      <c r="B16" s="1">
        <v>44965</v>
      </c>
      <c r="C16" t="s">
        <v>105</v>
      </c>
      <c r="D16" t="s">
        <v>106</v>
      </c>
      <c r="E16">
        <v>5</v>
      </c>
      <c r="F16" t="s">
        <v>78</v>
      </c>
      <c r="G16">
        <v>15</v>
      </c>
      <c r="H16" t="s">
        <v>107</v>
      </c>
      <c r="I16" t="s">
        <v>80</v>
      </c>
      <c r="J16">
        <v>22</v>
      </c>
      <c r="K16" t="s">
        <v>60</v>
      </c>
      <c r="L16" t="s">
        <v>108</v>
      </c>
      <c r="M16" s="1">
        <v>45351</v>
      </c>
      <c r="N16" t="s">
        <v>54</v>
      </c>
      <c r="O16" t="s">
        <v>109</v>
      </c>
      <c r="P16" t="s">
        <v>110</v>
      </c>
      <c r="Q16" t="s">
        <v>111</v>
      </c>
      <c r="R16">
        <v>1622.17</v>
      </c>
      <c r="S16">
        <v>1993.72</v>
      </c>
      <c r="T16">
        <v>262</v>
      </c>
      <c r="U16">
        <v>14314.83</v>
      </c>
      <c r="V16">
        <v>2265.4499999999998</v>
      </c>
      <c r="W16">
        <v>12049.38</v>
      </c>
      <c r="X16">
        <v>297.77999999999997</v>
      </c>
      <c r="Y16" t="s">
        <v>56</v>
      </c>
      <c r="Z16">
        <v>9968.6</v>
      </c>
      <c r="AA16">
        <v>1857.7499999999998</v>
      </c>
    </row>
    <row r="17" spans="1:27" x14ac:dyDescent="0.3">
      <c r="A17" t="s">
        <v>112</v>
      </c>
      <c r="B17" s="1">
        <v>44999</v>
      </c>
      <c r="C17" t="s">
        <v>113</v>
      </c>
      <c r="D17" t="s">
        <v>102</v>
      </c>
      <c r="E17">
        <v>5</v>
      </c>
      <c r="F17" t="s">
        <v>90</v>
      </c>
      <c r="G17">
        <v>11</v>
      </c>
      <c r="H17" t="s">
        <v>114</v>
      </c>
      <c r="I17" t="s">
        <v>30</v>
      </c>
      <c r="J17">
        <v>21</v>
      </c>
      <c r="K17" t="s">
        <v>31</v>
      </c>
      <c r="L17" t="s">
        <v>66</v>
      </c>
      <c r="M17" s="1">
        <v>45649</v>
      </c>
      <c r="N17" t="s">
        <v>33</v>
      </c>
      <c r="O17" t="s">
        <v>103</v>
      </c>
      <c r="P17" t="s">
        <v>94</v>
      </c>
      <c r="Q17" t="s">
        <v>46</v>
      </c>
      <c r="R17">
        <v>4398.43</v>
      </c>
      <c r="S17">
        <v>6683.28</v>
      </c>
      <c r="T17">
        <v>152</v>
      </c>
      <c r="U17">
        <v>13683.07</v>
      </c>
      <c r="V17">
        <v>2065.58</v>
      </c>
      <c r="W17">
        <v>11617.49</v>
      </c>
      <c r="X17">
        <v>3745.81</v>
      </c>
      <c r="Y17" t="s">
        <v>83</v>
      </c>
      <c r="Z17">
        <v>33416.400000000001</v>
      </c>
      <c r="AA17">
        <v>11424.249999999996</v>
      </c>
    </row>
    <row r="18" spans="1:27" x14ac:dyDescent="0.3">
      <c r="A18" t="s">
        <v>115</v>
      </c>
      <c r="B18" s="1">
        <v>45190</v>
      </c>
      <c r="C18" t="s">
        <v>116</v>
      </c>
      <c r="D18" t="s">
        <v>117</v>
      </c>
      <c r="E18">
        <v>1</v>
      </c>
      <c r="F18" t="s">
        <v>51</v>
      </c>
      <c r="G18">
        <v>0</v>
      </c>
      <c r="H18" t="s">
        <v>118</v>
      </c>
      <c r="I18" t="s">
        <v>80</v>
      </c>
      <c r="J18">
        <v>52</v>
      </c>
      <c r="K18" t="s">
        <v>31</v>
      </c>
      <c r="L18" t="s">
        <v>43</v>
      </c>
      <c r="M18" s="1">
        <v>45163</v>
      </c>
      <c r="N18" t="s">
        <v>54</v>
      </c>
      <c r="O18" t="s">
        <v>119</v>
      </c>
      <c r="P18" t="s">
        <v>110</v>
      </c>
      <c r="Q18" t="s">
        <v>120</v>
      </c>
      <c r="R18">
        <v>1390.81</v>
      </c>
      <c r="S18">
        <v>1874.61</v>
      </c>
      <c r="T18">
        <v>262</v>
      </c>
      <c r="U18">
        <v>16205.02</v>
      </c>
      <c r="V18">
        <v>3275.11</v>
      </c>
      <c r="W18">
        <v>12929.91</v>
      </c>
      <c r="X18">
        <v>1328.26</v>
      </c>
      <c r="Y18" t="s">
        <v>37</v>
      </c>
      <c r="Z18">
        <v>1874.61</v>
      </c>
      <c r="AA18">
        <v>483.79999999999995</v>
      </c>
    </row>
    <row r="19" spans="1:27" x14ac:dyDescent="0.3">
      <c r="A19" t="s">
        <v>121</v>
      </c>
      <c r="B19" s="1">
        <v>45056</v>
      </c>
      <c r="C19" t="s">
        <v>70</v>
      </c>
      <c r="D19" t="s">
        <v>122</v>
      </c>
      <c r="E19">
        <v>3</v>
      </c>
      <c r="F19" t="s">
        <v>51</v>
      </c>
      <c r="G19">
        <v>6</v>
      </c>
      <c r="H19" t="s">
        <v>72</v>
      </c>
      <c r="I19" t="s">
        <v>30</v>
      </c>
      <c r="J19">
        <v>56</v>
      </c>
      <c r="K19" t="s">
        <v>73</v>
      </c>
      <c r="L19" t="s">
        <v>32</v>
      </c>
      <c r="M19" s="1">
        <v>45619</v>
      </c>
      <c r="N19" t="s">
        <v>54</v>
      </c>
      <c r="O19" t="s">
        <v>123</v>
      </c>
      <c r="P19" t="s">
        <v>68</v>
      </c>
      <c r="Q19" t="s">
        <v>46</v>
      </c>
      <c r="R19">
        <v>1480.33</v>
      </c>
      <c r="S19">
        <v>1709.3</v>
      </c>
      <c r="T19">
        <v>229</v>
      </c>
      <c r="U19">
        <v>16674.849999999999</v>
      </c>
      <c r="V19">
        <v>571.14</v>
      </c>
      <c r="W19">
        <v>16103.71</v>
      </c>
      <c r="X19">
        <v>4520.46</v>
      </c>
      <c r="Y19" t="s">
        <v>83</v>
      </c>
      <c r="Z19">
        <v>5127.8999999999996</v>
      </c>
      <c r="AA19">
        <v>686.91000000000008</v>
      </c>
    </row>
    <row r="20" spans="1:27" x14ac:dyDescent="0.3">
      <c r="A20" t="s">
        <v>124</v>
      </c>
      <c r="B20" s="1">
        <v>45147</v>
      </c>
      <c r="C20" t="s">
        <v>49</v>
      </c>
      <c r="D20" t="s">
        <v>125</v>
      </c>
      <c r="E20">
        <v>6</v>
      </c>
      <c r="F20" t="s">
        <v>51</v>
      </c>
      <c r="G20">
        <v>2</v>
      </c>
      <c r="H20" t="s">
        <v>52</v>
      </c>
      <c r="I20" t="s">
        <v>30</v>
      </c>
      <c r="J20">
        <v>24</v>
      </c>
      <c r="K20" t="s">
        <v>53</v>
      </c>
      <c r="L20" t="s">
        <v>43</v>
      </c>
      <c r="M20" s="1">
        <v>45721</v>
      </c>
      <c r="N20" t="s">
        <v>54</v>
      </c>
      <c r="O20" t="s">
        <v>126</v>
      </c>
      <c r="P20" t="s">
        <v>68</v>
      </c>
      <c r="Q20" t="s">
        <v>120</v>
      </c>
      <c r="R20">
        <v>4301.32</v>
      </c>
      <c r="S20">
        <v>6870.07</v>
      </c>
      <c r="T20">
        <v>243</v>
      </c>
      <c r="U20">
        <v>1419.43</v>
      </c>
      <c r="V20">
        <v>79.099999999999994</v>
      </c>
      <c r="W20">
        <v>1340.33</v>
      </c>
      <c r="X20">
        <v>3667.3</v>
      </c>
      <c r="Y20" t="s">
        <v>47</v>
      </c>
      <c r="Z20">
        <v>41220.42</v>
      </c>
      <c r="AA20">
        <v>15412.5</v>
      </c>
    </row>
    <row r="21" spans="1:27" x14ac:dyDescent="0.3">
      <c r="A21" t="s">
        <v>127</v>
      </c>
      <c r="B21" s="1">
        <v>45024</v>
      </c>
      <c r="C21" t="s">
        <v>128</v>
      </c>
      <c r="D21" t="s">
        <v>129</v>
      </c>
      <c r="E21">
        <v>4</v>
      </c>
      <c r="F21" t="s">
        <v>90</v>
      </c>
      <c r="G21">
        <v>23</v>
      </c>
      <c r="H21" t="s">
        <v>130</v>
      </c>
      <c r="I21" t="s">
        <v>30</v>
      </c>
      <c r="J21">
        <v>36</v>
      </c>
      <c r="K21" t="s">
        <v>65</v>
      </c>
      <c r="L21" t="s">
        <v>81</v>
      </c>
      <c r="M21" s="1">
        <v>44599</v>
      </c>
      <c r="N21" t="s">
        <v>54</v>
      </c>
      <c r="O21" t="s">
        <v>131</v>
      </c>
      <c r="P21" t="s">
        <v>68</v>
      </c>
      <c r="Q21" t="s">
        <v>111</v>
      </c>
      <c r="R21">
        <v>4948.75</v>
      </c>
      <c r="S21">
        <v>6628.41</v>
      </c>
      <c r="T21">
        <v>268</v>
      </c>
      <c r="U21">
        <v>19085.47</v>
      </c>
      <c r="V21">
        <v>3730.95</v>
      </c>
      <c r="W21">
        <v>15354.52</v>
      </c>
      <c r="X21">
        <v>760.74</v>
      </c>
      <c r="Y21" t="s">
        <v>56</v>
      </c>
      <c r="Z21">
        <v>26513.64</v>
      </c>
      <c r="AA21">
        <v>6718.6399999999994</v>
      </c>
    </row>
    <row r="22" spans="1:27" x14ac:dyDescent="0.3">
      <c r="A22" t="s">
        <v>132</v>
      </c>
      <c r="B22" s="1">
        <v>45259</v>
      </c>
      <c r="C22" t="s">
        <v>133</v>
      </c>
      <c r="D22" t="s">
        <v>134</v>
      </c>
      <c r="E22">
        <v>1</v>
      </c>
      <c r="F22" t="s">
        <v>51</v>
      </c>
      <c r="G22">
        <v>20</v>
      </c>
      <c r="H22" t="s">
        <v>135</v>
      </c>
      <c r="I22" t="s">
        <v>30</v>
      </c>
      <c r="J22">
        <v>50</v>
      </c>
      <c r="K22" t="s">
        <v>42</v>
      </c>
      <c r="L22" t="s">
        <v>43</v>
      </c>
      <c r="M22" s="1">
        <v>44967</v>
      </c>
      <c r="N22" t="s">
        <v>33</v>
      </c>
      <c r="O22" t="s">
        <v>136</v>
      </c>
      <c r="P22" t="s">
        <v>68</v>
      </c>
      <c r="Q22" t="s">
        <v>46</v>
      </c>
      <c r="R22">
        <v>3023.88</v>
      </c>
      <c r="S22">
        <v>3903.42</v>
      </c>
      <c r="T22">
        <v>217</v>
      </c>
      <c r="U22">
        <v>1568.29</v>
      </c>
      <c r="V22">
        <v>187.57</v>
      </c>
      <c r="W22">
        <v>1380.72</v>
      </c>
      <c r="X22">
        <v>4961.91</v>
      </c>
      <c r="Y22" t="s">
        <v>83</v>
      </c>
      <c r="Z22">
        <v>3903.42</v>
      </c>
      <c r="AA22">
        <v>879.54</v>
      </c>
    </row>
    <row r="23" spans="1:27" x14ac:dyDescent="0.3">
      <c r="A23" t="s">
        <v>137</v>
      </c>
      <c r="B23" s="1">
        <v>44931</v>
      </c>
      <c r="C23" t="s">
        <v>138</v>
      </c>
      <c r="D23" t="s">
        <v>134</v>
      </c>
      <c r="E23">
        <v>3</v>
      </c>
      <c r="F23" t="s">
        <v>78</v>
      </c>
      <c r="G23">
        <v>15</v>
      </c>
      <c r="H23" t="s">
        <v>139</v>
      </c>
      <c r="I23" t="s">
        <v>80</v>
      </c>
      <c r="J23">
        <v>25</v>
      </c>
      <c r="K23" t="s">
        <v>53</v>
      </c>
      <c r="L23" t="s">
        <v>81</v>
      </c>
      <c r="M23" s="1">
        <v>44756</v>
      </c>
      <c r="N23" t="s">
        <v>54</v>
      </c>
      <c r="O23" t="s">
        <v>136</v>
      </c>
      <c r="P23" t="s">
        <v>68</v>
      </c>
      <c r="Q23" t="s">
        <v>46</v>
      </c>
      <c r="R23">
        <v>3023.88</v>
      </c>
      <c r="S23">
        <v>3903.42</v>
      </c>
      <c r="T23">
        <v>217</v>
      </c>
      <c r="U23">
        <v>11760.28</v>
      </c>
      <c r="V23">
        <v>230.3</v>
      </c>
      <c r="W23">
        <v>11529.98</v>
      </c>
      <c r="X23">
        <v>421.84</v>
      </c>
      <c r="Y23" t="s">
        <v>47</v>
      </c>
      <c r="Z23">
        <v>11710.26</v>
      </c>
      <c r="AA23">
        <v>2638.62</v>
      </c>
    </row>
    <row r="24" spans="1:27" x14ac:dyDescent="0.3">
      <c r="A24" t="s">
        <v>140</v>
      </c>
      <c r="B24" s="1">
        <v>44966</v>
      </c>
      <c r="C24" t="s">
        <v>141</v>
      </c>
      <c r="D24" t="s">
        <v>142</v>
      </c>
      <c r="E24">
        <v>6</v>
      </c>
      <c r="F24" t="s">
        <v>51</v>
      </c>
      <c r="G24">
        <v>14</v>
      </c>
      <c r="H24" t="s">
        <v>143</v>
      </c>
      <c r="I24" t="s">
        <v>80</v>
      </c>
      <c r="J24">
        <v>41</v>
      </c>
      <c r="K24" t="s">
        <v>73</v>
      </c>
      <c r="L24" t="s">
        <v>81</v>
      </c>
      <c r="M24" s="1">
        <v>44899</v>
      </c>
      <c r="N24" t="s">
        <v>54</v>
      </c>
      <c r="O24" t="s">
        <v>144</v>
      </c>
      <c r="P24" t="s">
        <v>68</v>
      </c>
      <c r="Q24" t="s">
        <v>46</v>
      </c>
      <c r="R24">
        <v>236.18</v>
      </c>
      <c r="S24">
        <v>290.54000000000002</v>
      </c>
      <c r="T24">
        <v>127</v>
      </c>
      <c r="U24">
        <v>17350.29</v>
      </c>
      <c r="V24">
        <v>1343.19</v>
      </c>
      <c r="W24">
        <v>16007.1</v>
      </c>
      <c r="X24">
        <v>2549.77</v>
      </c>
      <c r="Y24" t="s">
        <v>47</v>
      </c>
      <c r="Z24">
        <v>1743.2400000000002</v>
      </c>
      <c r="AA24">
        <v>326.16000000000008</v>
      </c>
    </row>
    <row r="25" spans="1:27" x14ac:dyDescent="0.3">
      <c r="A25" t="s">
        <v>145</v>
      </c>
      <c r="B25" s="1">
        <v>45249</v>
      </c>
      <c r="C25" t="s">
        <v>133</v>
      </c>
      <c r="D25" t="s">
        <v>146</v>
      </c>
      <c r="E25">
        <v>1</v>
      </c>
      <c r="F25" t="s">
        <v>90</v>
      </c>
      <c r="G25">
        <v>12</v>
      </c>
      <c r="H25" t="s">
        <v>135</v>
      </c>
      <c r="I25" t="s">
        <v>30</v>
      </c>
      <c r="J25">
        <v>50</v>
      </c>
      <c r="K25" t="s">
        <v>42</v>
      </c>
      <c r="L25" t="s">
        <v>43</v>
      </c>
      <c r="M25" s="1">
        <v>44967</v>
      </c>
      <c r="N25" t="s">
        <v>33</v>
      </c>
      <c r="O25" t="s">
        <v>147</v>
      </c>
      <c r="P25" t="s">
        <v>94</v>
      </c>
      <c r="Q25" t="s">
        <v>111</v>
      </c>
      <c r="R25">
        <v>662.05</v>
      </c>
      <c r="S25">
        <v>1019.21</v>
      </c>
      <c r="T25">
        <v>49</v>
      </c>
      <c r="U25">
        <v>10487.63</v>
      </c>
      <c r="V25">
        <v>1931.37</v>
      </c>
      <c r="W25">
        <v>8556.26</v>
      </c>
      <c r="X25">
        <v>973.68</v>
      </c>
      <c r="Y25" t="s">
        <v>37</v>
      </c>
      <c r="Z25">
        <v>1019.21</v>
      </c>
      <c r="AA25">
        <v>357.16000000000008</v>
      </c>
    </row>
    <row r="26" spans="1:27" x14ac:dyDescent="0.3">
      <c r="A26" t="s">
        <v>148</v>
      </c>
      <c r="B26" s="1">
        <v>45226</v>
      </c>
      <c r="C26" t="s">
        <v>149</v>
      </c>
      <c r="D26" t="s">
        <v>146</v>
      </c>
      <c r="E26">
        <v>1</v>
      </c>
      <c r="F26" t="s">
        <v>28</v>
      </c>
      <c r="G26">
        <v>22</v>
      </c>
      <c r="H26" t="s">
        <v>150</v>
      </c>
      <c r="I26" t="s">
        <v>30</v>
      </c>
      <c r="J26">
        <v>44</v>
      </c>
      <c r="K26" t="s">
        <v>73</v>
      </c>
      <c r="L26" t="s">
        <v>81</v>
      </c>
      <c r="M26" s="1">
        <v>44918</v>
      </c>
      <c r="N26" t="s">
        <v>33</v>
      </c>
      <c r="O26" t="s">
        <v>147</v>
      </c>
      <c r="P26" t="s">
        <v>94</v>
      </c>
      <c r="Q26" t="s">
        <v>111</v>
      </c>
      <c r="R26">
        <v>662.05</v>
      </c>
      <c r="S26">
        <v>1019.21</v>
      </c>
      <c r="T26">
        <v>49</v>
      </c>
      <c r="U26">
        <v>2119.8200000000002</v>
      </c>
      <c r="V26">
        <v>516.88</v>
      </c>
      <c r="W26">
        <v>1602.94</v>
      </c>
      <c r="X26">
        <v>4005.06</v>
      </c>
      <c r="Y26" t="s">
        <v>37</v>
      </c>
      <c r="Z26">
        <v>1019.21</v>
      </c>
      <c r="AA26">
        <v>357.16000000000008</v>
      </c>
    </row>
    <row r="27" spans="1:27" x14ac:dyDescent="0.3">
      <c r="A27" t="s">
        <v>151</v>
      </c>
      <c r="B27" s="1">
        <v>44950</v>
      </c>
      <c r="C27" t="s">
        <v>152</v>
      </c>
      <c r="D27" t="s">
        <v>153</v>
      </c>
      <c r="E27">
        <v>6</v>
      </c>
      <c r="F27" t="s">
        <v>90</v>
      </c>
      <c r="G27">
        <v>2</v>
      </c>
      <c r="H27" t="s">
        <v>154</v>
      </c>
      <c r="I27" t="s">
        <v>80</v>
      </c>
      <c r="J27">
        <v>36</v>
      </c>
      <c r="K27" t="s">
        <v>155</v>
      </c>
      <c r="L27" t="s">
        <v>81</v>
      </c>
      <c r="M27" s="1">
        <v>45103</v>
      </c>
      <c r="N27" t="s">
        <v>33</v>
      </c>
      <c r="O27" t="s">
        <v>156</v>
      </c>
      <c r="P27" t="s">
        <v>35</v>
      </c>
      <c r="Q27" t="s">
        <v>36</v>
      </c>
      <c r="R27">
        <v>2340.46</v>
      </c>
      <c r="S27">
        <v>2600.46</v>
      </c>
      <c r="T27">
        <v>245</v>
      </c>
      <c r="U27">
        <v>603.61</v>
      </c>
      <c r="V27">
        <v>42.57</v>
      </c>
      <c r="W27">
        <v>561.04</v>
      </c>
      <c r="X27">
        <v>3351.55</v>
      </c>
      <c r="Y27" t="s">
        <v>37</v>
      </c>
      <c r="Z27">
        <v>15602.76</v>
      </c>
      <c r="AA27">
        <v>1560</v>
      </c>
    </row>
    <row r="28" spans="1:27" x14ac:dyDescent="0.3">
      <c r="A28" t="s">
        <v>157</v>
      </c>
      <c r="B28" s="1">
        <v>45107</v>
      </c>
      <c r="C28" t="s">
        <v>58</v>
      </c>
      <c r="D28" t="s">
        <v>146</v>
      </c>
      <c r="E28">
        <v>4</v>
      </c>
      <c r="F28" t="s">
        <v>90</v>
      </c>
      <c r="G28">
        <v>7</v>
      </c>
      <c r="H28" t="s">
        <v>59</v>
      </c>
      <c r="I28" t="s">
        <v>30</v>
      </c>
      <c r="J28">
        <v>25</v>
      </c>
      <c r="K28" t="s">
        <v>60</v>
      </c>
      <c r="L28" t="s">
        <v>53</v>
      </c>
      <c r="M28" s="1">
        <v>44898</v>
      </c>
      <c r="N28" t="s">
        <v>44</v>
      </c>
      <c r="O28" t="s">
        <v>147</v>
      </c>
      <c r="P28" t="s">
        <v>94</v>
      </c>
      <c r="Q28" t="s">
        <v>111</v>
      </c>
      <c r="R28">
        <v>662.05</v>
      </c>
      <c r="S28">
        <v>1019.21</v>
      </c>
      <c r="T28">
        <v>49</v>
      </c>
      <c r="U28">
        <v>11512.44</v>
      </c>
      <c r="V28">
        <v>2130.63</v>
      </c>
      <c r="W28">
        <v>9381.81</v>
      </c>
      <c r="X28">
        <v>1241.27</v>
      </c>
      <c r="Y28" t="s">
        <v>83</v>
      </c>
      <c r="Z28">
        <v>4076.84</v>
      </c>
      <c r="AA28">
        <v>1428.6400000000003</v>
      </c>
    </row>
    <row r="29" spans="1:27" x14ac:dyDescent="0.3">
      <c r="A29" t="s">
        <v>158</v>
      </c>
      <c r="B29" s="1">
        <v>45018</v>
      </c>
      <c r="C29" t="s">
        <v>159</v>
      </c>
      <c r="D29" t="s">
        <v>146</v>
      </c>
      <c r="E29">
        <v>1</v>
      </c>
      <c r="F29" t="s">
        <v>78</v>
      </c>
      <c r="G29">
        <v>23</v>
      </c>
      <c r="H29" t="s">
        <v>160</v>
      </c>
      <c r="I29" t="s">
        <v>80</v>
      </c>
      <c r="J29">
        <v>55</v>
      </c>
      <c r="K29" t="s">
        <v>155</v>
      </c>
      <c r="L29" t="s">
        <v>108</v>
      </c>
      <c r="M29" s="1">
        <v>45619</v>
      </c>
      <c r="N29" t="s">
        <v>44</v>
      </c>
      <c r="O29" t="s">
        <v>147</v>
      </c>
      <c r="P29" t="s">
        <v>94</v>
      </c>
      <c r="Q29" t="s">
        <v>111</v>
      </c>
      <c r="R29">
        <v>662.05</v>
      </c>
      <c r="S29">
        <v>1019.21</v>
      </c>
      <c r="T29">
        <v>49</v>
      </c>
      <c r="U29">
        <v>3848.11</v>
      </c>
      <c r="V29">
        <v>869.66</v>
      </c>
      <c r="W29">
        <v>2978.45</v>
      </c>
      <c r="X29">
        <v>3031.95</v>
      </c>
      <c r="Y29" t="s">
        <v>37</v>
      </c>
      <c r="Z29">
        <v>1019.21</v>
      </c>
      <c r="AA29">
        <v>357.16000000000008</v>
      </c>
    </row>
    <row r="30" spans="1:27" x14ac:dyDescent="0.3">
      <c r="A30" t="s">
        <v>161</v>
      </c>
      <c r="B30" s="1">
        <v>45051</v>
      </c>
      <c r="C30" t="s">
        <v>162</v>
      </c>
      <c r="D30" t="s">
        <v>163</v>
      </c>
      <c r="E30">
        <v>6</v>
      </c>
      <c r="F30" t="s">
        <v>78</v>
      </c>
      <c r="G30">
        <v>24</v>
      </c>
      <c r="H30" t="s">
        <v>164</v>
      </c>
      <c r="I30" t="s">
        <v>30</v>
      </c>
      <c r="J30">
        <v>58</v>
      </c>
      <c r="K30" t="s">
        <v>31</v>
      </c>
      <c r="L30" t="s">
        <v>32</v>
      </c>
      <c r="M30" s="1">
        <v>44739</v>
      </c>
      <c r="N30" t="s">
        <v>33</v>
      </c>
      <c r="O30" t="s">
        <v>165</v>
      </c>
      <c r="P30" t="s">
        <v>94</v>
      </c>
      <c r="Q30" t="s">
        <v>120</v>
      </c>
      <c r="R30">
        <v>1733.92</v>
      </c>
      <c r="S30">
        <v>2099.92</v>
      </c>
      <c r="T30">
        <v>175</v>
      </c>
      <c r="U30">
        <v>10611.74</v>
      </c>
      <c r="V30">
        <v>137.28</v>
      </c>
      <c r="W30">
        <v>10474.459999999999</v>
      </c>
      <c r="X30">
        <v>2331.36</v>
      </c>
      <c r="Y30" t="s">
        <v>47</v>
      </c>
      <c r="Z30">
        <v>12599.52</v>
      </c>
      <c r="AA30">
        <v>2196</v>
      </c>
    </row>
    <row r="31" spans="1:27" x14ac:dyDescent="0.3">
      <c r="A31" t="s">
        <v>166</v>
      </c>
      <c r="B31" s="1">
        <v>45067</v>
      </c>
      <c r="C31" t="s">
        <v>167</v>
      </c>
      <c r="D31" t="s">
        <v>63</v>
      </c>
      <c r="E31">
        <v>3</v>
      </c>
      <c r="F31" t="s">
        <v>51</v>
      </c>
      <c r="G31">
        <v>20</v>
      </c>
      <c r="H31" t="s">
        <v>168</v>
      </c>
      <c r="I31" t="s">
        <v>30</v>
      </c>
      <c r="J31">
        <v>55</v>
      </c>
      <c r="K31" t="s">
        <v>73</v>
      </c>
      <c r="L31" t="s">
        <v>32</v>
      </c>
      <c r="M31" s="1">
        <v>44843</v>
      </c>
      <c r="N31" t="s">
        <v>44</v>
      </c>
      <c r="O31" t="s">
        <v>67</v>
      </c>
      <c r="P31" t="s">
        <v>68</v>
      </c>
      <c r="Q31" t="s">
        <v>46</v>
      </c>
      <c r="R31">
        <v>2961.83</v>
      </c>
      <c r="S31">
        <v>4189.8100000000004</v>
      </c>
      <c r="T31">
        <v>165</v>
      </c>
      <c r="U31">
        <v>1079.08</v>
      </c>
      <c r="V31">
        <v>32.94</v>
      </c>
      <c r="W31">
        <v>1046.1400000000001</v>
      </c>
      <c r="X31">
        <v>1989.53</v>
      </c>
      <c r="Y31" t="s">
        <v>83</v>
      </c>
      <c r="Z31">
        <v>12569.43</v>
      </c>
      <c r="AA31">
        <v>3683.9400000000014</v>
      </c>
    </row>
    <row r="32" spans="1:27" x14ac:dyDescent="0.3">
      <c r="A32" t="s">
        <v>169</v>
      </c>
      <c r="B32" s="1">
        <v>45115</v>
      </c>
      <c r="C32" t="s">
        <v>116</v>
      </c>
      <c r="D32" t="s">
        <v>63</v>
      </c>
      <c r="E32">
        <v>3</v>
      </c>
      <c r="F32" t="s">
        <v>28</v>
      </c>
      <c r="G32">
        <v>15</v>
      </c>
      <c r="H32" t="s">
        <v>118</v>
      </c>
      <c r="I32" t="s">
        <v>80</v>
      </c>
      <c r="J32">
        <v>52</v>
      </c>
      <c r="K32" t="s">
        <v>31</v>
      </c>
      <c r="L32" t="s">
        <v>43</v>
      </c>
      <c r="M32" s="1">
        <v>45163</v>
      </c>
      <c r="N32" t="s">
        <v>54</v>
      </c>
      <c r="O32" t="s">
        <v>67</v>
      </c>
      <c r="P32" t="s">
        <v>68</v>
      </c>
      <c r="Q32" t="s">
        <v>46</v>
      </c>
      <c r="R32">
        <v>2961.83</v>
      </c>
      <c r="S32">
        <v>4189.8100000000004</v>
      </c>
      <c r="T32">
        <v>165</v>
      </c>
      <c r="U32">
        <v>11041.68</v>
      </c>
      <c r="V32">
        <v>1479.68</v>
      </c>
      <c r="W32">
        <v>9562</v>
      </c>
      <c r="X32">
        <v>3378.64</v>
      </c>
      <c r="Y32" t="s">
        <v>47</v>
      </c>
      <c r="Z32">
        <v>12569.43</v>
      </c>
      <c r="AA32">
        <v>3683.9400000000014</v>
      </c>
    </row>
    <row r="33" spans="1:27" x14ac:dyDescent="0.3">
      <c r="A33" t="s">
        <v>170</v>
      </c>
      <c r="B33" s="1">
        <v>45154</v>
      </c>
      <c r="C33" t="s">
        <v>171</v>
      </c>
      <c r="D33" t="s">
        <v>172</v>
      </c>
      <c r="E33">
        <v>4</v>
      </c>
      <c r="F33" t="s">
        <v>78</v>
      </c>
      <c r="G33">
        <v>24</v>
      </c>
      <c r="H33" t="s">
        <v>173</v>
      </c>
      <c r="I33" t="s">
        <v>30</v>
      </c>
      <c r="J33">
        <v>22</v>
      </c>
      <c r="K33" t="s">
        <v>155</v>
      </c>
      <c r="L33" t="s">
        <v>32</v>
      </c>
      <c r="M33" s="1">
        <v>45701</v>
      </c>
      <c r="N33" t="s">
        <v>44</v>
      </c>
      <c r="O33" t="s">
        <v>174</v>
      </c>
      <c r="P33" t="s">
        <v>94</v>
      </c>
      <c r="Q33" t="s">
        <v>120</v>
      </c>
      <c r="R33">
        <v>2787.43</v>
      </c>
      <c r="S33">
        <v>4097.28</v>
      </c>
      <c r="T33">
        <v>278</v>
      </c>
      <c r="U33">
        <v>11340.48</v>
      </c>
      <c r="V33">
        <v>529.47</v>
      </c>
      <c r="W33">
        <v>10811.01</v>
      </c>
      <c r="X33">
        <v>654.14</v>
      </c>
      <c r="Y33" t="s">
        <v>56</v>
      </c>
      <c r="Z33">
        <v>16389.12</v>
      </c>
      <c r="AA33">
        <v>5239.3999999999996</v>
      </c>
    </row>
    <row r="34" spans="1:27" x14ac:dyDescent="0.3">
      <c r="A34" t="s">
        <v>175</v>
      </c>
      <c r="B34" s="1">
        <v>45107</v>
      </c>
      <c r="C34" t="s">
        <v>176</v>
      </c>
      <c r="D34" t="s">
        <v>177</v>
      </c>
      <c r="E34">
        <v>2</v>
      </c>
      <c r="F34" t="s">
        <v>78</v>
      </c>
      <c r="G34">
        <v>14</v>
      </c>
      <c r="H34" t="s">
        <v>178</v>
      </c>
      <c r="I34" t="s">
        <v>80</v>
      </c>
      <c r="J34">
        <v>27</v>
      </c>
      <c r="K34" t="s">
        <v>53</v>
      </c>
      <c r="L34" t="s">
        <v>43</v>
      </c>
      <c r="M34" s="1">
        <v>45372</v>
      </c>
      <c r="N34" t="s">
        <v>54</v>
      </c>
      <c r="O34" t="s">
        <v>179</v>
      </c>
      <c r="P34" t="s">
        <v>35</v>
      </c>
      <c r="Q34" t="s">
        <v>46</v>
      </c>
      <c r="R34">
        <v>926.86</v>
      </c>
      <c r="S34">
        <v>1109.73</v>
      </c>
      <c r="T34">
        <v>287</v>
      </c>
      <c r="U34">
        <v>19354.599999999999</v>
      </c>
      <c r="V34">
        <v>398.87</v>
      </c>
      <c r="W34">
        <v>18955.73</v>
      </c>
      <c r="X34">
        <v>1008.92</v>
      </c>
      <c r="Y34" t="s">
        <v>37</v>
      </c>
      <c r="Z34">
        <v>2219.46</v>
      </c>
      <c r="AA34">
        <v>365.74</v>
      </c>
    </row>
    <row r="35" spans="1:27" x14ac:dyDescent="0.3">
      <c r="A35" t="s">
        <v>180</v>
      </c>
      <c r="B35" s="1">
        <v>45224</v>
      </c>
      <c r="C35" t="s">
        <v>62</v>
      </c>
      <c r="D35" t="s">
        <v>129</v>
      </c>
      <c r="E35">
        <v>5</v>
      </c>
      <c r="F35" t="s">
        <v>28</v>
      </c>
      <c r="G35">
        <v>25</v>
      </c>
      <c r="H35" t="s">
        <v>64</v>
      </c>
      <c r="I35" t="s">
        <v>30</v>
      </c>
      <c r="J35">
        <v>25</v>
      </c>
      <c r="K35" t="s">
        <v>65</v>
      </c>
      <c r="L35" t="s">
        <v>66</v>
      </c>
      <c r="M35" s="1">
        <v>44951</v>
      </c>
      <c r="N35" t="s">
        <v>54</v>
      </c>
      <c r="O35" t="s">
        <v>131</v>
      </c>
      <c r="P35" t="s">
        <v>68</v>
      </c>
      <c r="Q35" t="s">
        <v>111</v>
      </c>
      <c r="R35">
        <v>4948.75</v>
      </c>
      <c r="S35">
        <v>6628.41</v>
      </c>
      <c r="T35">
        <v>268</v>
      </c>
      <c r="U35">
        <v>7793.22</v>
      </c>
      <c r="V35">
        <v>650.62</v>
      </c>
      <c r="W35">
        <v>7142.6</v>
      </c>
      <c r="X35">
        <v>1564.64</v>
      </c>
      <c r="Y35" t="s">
        <v>56</v>
      </c>
      <c r="Z35">
        <v>33142.050000000003</v>
      </c>
      <c r="AA35">
        <v>8398.2999999999993</v>
      </c>
    </row>
    <row r="36" spans="1:27" x14ac:dyDescent="0.3">
      <c r="A36" t="s">
        <v>181</v>
      </c>
      <c r="B36" s="1">
        <v>44961</v>
      </c>
      <c r="C36" t="s">
        <v>182</v>
      </c>
      <c r="D36" t="s">
        <v>183</v>
      </c>
      <c r="E36">
        <v>2</v>
      </c>
      <c r="F36" t="s">
        <v>90</v>
      </c>
      <c r="G36">
        <v>2</v>
      </c>
      <c r="H36" t="s">
        <v>184</v>
      </c>
      <c r="I36" t="s">
        <v>80</v>
      </c>
      <c r="J36">
        <v>40</v>
      </c>
      <c r="K36" t="s">
        <v>65</v>
      </c>
      <c r="L36" t="s">
        <v>43</v>
      </c>
      <c r="M36" s="1">
        <v>44995</v>
      </c>
      <c r="N36" t="s">
        <v>33</v>
      </c>
      <c r="O36" t="s">
        <v>185</v>
      </c>
      <c r="P36" t="s">
        <v>110</v>
      </c>
      <c r="Q36" t="s">
        <v>36</v>
      </c>
      <c r="R36">
        <v>1358.27</v>
      </c>
      <c r="S36">
        <v>1886.86</v>
      </c>
      <c r="T36">
        <v>153</v>
      </c>
      <c r="U36">
        <v>11700.36</v>
      </c>
      <c r="V36">
        <v>236.02</v>
      </c>
      <c r="W36">
        <v>11464.34</v>
      </c>
      <c r="X36">
        <v>3693.33</v>
      </c>
      <c r="Y36" t="s">
        <v>47</v>
      </c>
      <c r="Z36">
        <v>3773.72</v>
      </c>
      <c r="AA36">
        <v>1057.1799999999998</v>
      </c>
    </row>
    <row r="37" spans="1:27" x14ac:dyDescent="0.3">
      <c r="A37" t="s">
        <v>186</v>
      </c>
      <c r="B37" s="1">
        <v>45141</v>
      </c>
      <c r="C37" t="s">
        <v>187</v>
      </c>
      <c r="D37" t="s">
        <v>129</v>
      </c>
      <c r="E37">
        <v>2</v>
      </c>
      <c r="F37" t="s">
        <v>28</v>
      </c>
      <c r="G37">
        <v>17</v>
      </c>
      <c r="H37" t="s">
        <v>188</v>
      </c>
      <c r="I37" t="s">
        <v>80</v>
      </c>
      <c r="J37">
        <v>35</v>
      </c>
      <c r="K37" t="s">
        <v>60</v>
      </c>
      <c r="L37" t="s">
        <v>53</v>
      </c>
      <c r="M37" s="1">
        <v>45052</v>
      </c>
      <c r="N37" t="s">
        <v>44</v>
      </c>
      <c r="O37" t="s">
        <v>131</v>
      </c>
      <c r="P37" t="s">
        <v>68</v>
      </c>
      <c r="Q37" t="s">
        <v>111</v>
      </c>
      <c r="R37">
        <v>4948.75</v>
      </c>
      <c r="S37">
        <v>6628.41</v>
      </c>
      <c r="T37">
        <v>268</v>
      </c>
      <c r="U37">
        <v>3817.6</v>
      </c>
      <c r="V37">
        <v>274.8</v>
      </c>
      <c r="W37">
        <v>3542.8</v>
      </c>
      <c r="X37">
        <v>2640.05</v>
      </c>
      <c r="Y37" t="s">
        <v>37</v>
      </c>
      <c r="Z37">
        <v>13256.82</v>
      </c>
      <c r="AA37">
        <v>3359.3199999999997</v>
      </c>
    </row>
    <row r="38" spans="1:27" x14ac:dyDescent="0.3">
      <c r="A38" t="s">
        <v>189</v>
      </c>
      <c r="B38" s="1">
        <v>44937</v>
      </c>
      <c r="C38" t="s">
        <v>159</v>
      </c>
      <c r="D38" t="s">
        <v>190</v>
      </c>
      <c r="E38">
        <v>1</v>
      </c>
      <c r="F38" t="s">
        <v>90</v>
      </c>
      <c r="G38">
        <v>0</v>
      </c>
      <c r="H38" t="s">
        <v>160</v>
      </c>
      <c r="I38" t="s">
        <v>80</v>
      </c>
      <c r="J38">
        <v>55</v>
      </c>
      <c r="K38" t="s">
        <v>155</v>
      </c>
      <c r="L38" t="s">
        <v>108</v>
      </c>
      <c r="M38" s="1">
        <v>45619</v>
      </c>
      <c r="N38" t="s">
        <v>44</v>
      </c>
      <c r="O38" t="s">
        <v>191</v>
      </c>
      <c r="P38" t="s">
        <v>68</v>
      </c>
      <c r="Q38" t="s">
        <v>120</v>
      </c>
      <c r="R38">
        <v>2412.25</v>
      </c>
      <c r="S38">
        <v>3672.51</v>
      </c>
      <c r="T38">
        <v>100</v>
      </c>
      <c r="U38">
        <v>4088.54</v>
      </c>
      <c r="V38">
        <v>542.76</v>
      </c>
      <c r="W38">
        <v>3545.78</v>
      </c>
      <c r="X38">
        <v>3201.73</v>
      </c>
      <c r="Y38" t="s">
        <v>47</v>
      </c>
      <c r="Z38">
        <v>3672.51</v>
      </c>
      <c r="AA38">
        <v>1260.2600000000002</v>
      </c>
    </row>
    <row r="39" spans="1:27" x14ac:dyDescent="0.3">
      <c r="A39" t="s">
        <v>192</v>
      </c>
      <c r="B39" s="1">
        <v>45227</v>
      </c>
      <c r="C39" t="s">
        <v>97</v>
      </c>
      <c r="D39" t="s">
        <v>193</v>
      </c>
      <c r="E39">
        <v>4</v>
      </c>
      <c r="F39" t="s">
        <v>90</v>
      </c>
      <c r="G39">
        <v>25</v>
      </c>
      <c r="H39" t="s">
        <v>99</v>
      </c>
      <c r="I39" t="s">
        <v>80</v>
      </c>
      <c r="J39">
        <v>27</v>
      </c>
      <c r="K39" t="s">
        <v>31</v>
      </c>
      <c r="L39" t="s">
        <v>32</v>
      </c>
      <c r="M39" s="1">
        <v>44637</v>
      </c>
      <c r="N39" t="s">
        <v>33</v>
      </c>
      <c r="O39" t="s">
        <v>194</v>
      </c>
      <c r="P39" t="s">
        <v>94</v>
      </c>
      <c r="Q39" t="s">
        <v>120</v>
      </c>
      <c r="R39">
        <v>1267.6600000000001</v>
      </c>
      <c r="S39">
        <v>1481.07</v>
      </c>
      <c r="T39">
        <v>99</v>
      </c>
      <c r="U39">
        <v>13019.69</v>
      </c>
      <c r="V39">
        <v>1496.85</v>
      </c>
      <c r="W39">
        <v>11522.84</v>
      </c>
      <c r="X39">
        <v>441.71</v>
      </c>
      <c r="Y39" t="s">
        <v>37</v>
      </c>
      <c r="Z39">
        <v>5924.28</v>
      </c>
      <c r="AA39">
        <v>853.63999999999942</v>
      </c>
    </row>
    <row r="40" spans="1:27" x14ac:dyDescent="0.3">
      <c r="A40" t="s">
        <v>195</v>
      </c>
      <c r="B40" s="1">
        <v>45277</v>
      </c>
      <c r="C40" t="s">
        <v>196</v>
      </c>
      <c r="D40" t="s">
        <v>197</v>
      </c>
      <c r="E40">
        <v>4</v>
      </c>
      <c r="F40" t="s">
        <v>28</v>
      </c>
      <c r="G40">
        <v>8</v>
      </c>
      <c r="H40" t="s">
        <v>198</v>
      </c>
      <c r="I40" t="s">
        <v>30</v>
      </c>
      <c r="J40">
        <v>37</v>
      </c>
      <c r="K40" t="s">
        <v>65</v>
      </c>
      <c r="L40" t="s">
        <v>53</v>
      </c>
      <c r="M40" s="1">
        <v>45436</v>
      </c>
      <c r="N40" t="s">
        <v>33</v>
      </c>
      <c r="O40" t="s">
        <v>199</v>
      </c>
      <c r="P40" t="s">
        <v>35</v>
      </c>
      <c r="Q40" t="s">
        <v>46</v>
      </c>
      <c r="R40">
        <v>1612.7</v>
      </c>
      <c r="S40">
        <v>1932.63</v>
      </c>
      <c r="T40">
        <v>278</v>
      </c>
      <c r="U40">
        <v>17700.169999999998</v>
      </c>
      <c r="V40">
        <v>372.22</v>
      </c>
      <c r="W40">
        <v>17327.95</v>
      </c>
      <c r="X40">
        <v>3193.88</v>
      </c>
      <c r="Y40" t="s">
        <v>56</v>
      </c>
      <c r="Z40">
        <v>7730.52</v>
      </c>
      <c r="AA40">
        <v>1279.7200000000003</v>
      </c>
    </row>
    <row r="41" spans="1:27" x14ac:dyDescent="0.3">
      <c r="A41" t="s">
        <v>200</v>
      </c>
      <c r="B41" s="1">
        <v>45093</v>
      </c>
      <c r="C41" t="s">
        <v>201</v>
      </c>
      <c r="D41" t="s">
        <v>202</v>
      </c>
      <c r="E41">
        <v>1</v>
      </c>
      <c r="F41" t="s">
        <v>51</v>
      </c>
      <c r="G41">
        <v>15</v>
      </c>
      <c r="H41" t="s">
        <v>203</v>
      </c>
      <c r="I41" t="s">
        <v>30</v>
      </c>
      <c r="J41">
        <v>44</v>
      </c>
      <c r="K41" t="s">
        <v>73</v>
      </c>
      <c r="L41" t="s">
        <v>53</v>
      </c>
      <c r="M41" s="1">
        <v>45408</v>
      </c>
      <c r="N41" t="s">
        <v>54</v>
      </c>
      <c r="O41" t="s">
        <v>204</v>
      </c>
      <c r="P41" t="s">
        <v>110</v>
      </c>
      <c r="Q41" t="s">
        <v>111</v>
      </c>
      <c r="R41">
        <v>830.87</v>
      </c>
      <c r="S41">
        <v>1283.0999999999999</v>
      </c>
      <c r="T41">
        <v>46</v>
      </c>
      <c r="U41">
        <v>16692.48</v>
      </c>
      <c r="V41">
        <v>3583.42</v>
      </c>
      <c r="W41">
        <v>13109.06</v>
      </c>
      <c r="X41">
        <v>866.77</v>
      </c>
      <c r="Y41" t="s">
        <v>47</v>
      </c>
      <c r="Z41">
        <v>1283.0999999999999</v>
      </c>
      <c r="AA41">
        <v>452.2299999999999</v>
      </c>
    </row>
    <row r="42" spans="1:27" x14ac:dyDescent="0.3">
      <c r="A42" t="s">
        <v>205</v>
      </c>
      <c r="B42" s="1">
        <v>45199</v>
      </c>
      <c r="C42" t="s">
        <v>206</v>
      </c>
      <c r="D42" t="s">
        <v>207</v>
      </c>
      <c r="E42">
        <v>4</v>
      </c>
      <c r="F42" t="s">
        <v>90</v>
      </c>
      <c r="G42">
        <v>3</v>
      </c>
      <c r="H42" t="s">
        <v>208</v>
      </c>
      <c r="I42" t="s">
        <v>30</v>
      </c>
      <c r="J42">
        <v>23</v>
      </c>
      <c r="K42" t="s">
        <v>155</v>
      </c>
      <c r="L42" t="s">
        <v>108</v>
      </c>
      <c r="M42" s="1">
        <v>44688</v>
      </c>
      <c r="N42" t="s">
        <v>44</v>
      </c>
      <c r="O42" t="s">
        <v>209</v>
      </c>
      <c r="P42" t="s">
        <v>35</v>
      </c>
      <c r="Q42" t="s">
        <v>46</v>
      </c>
      <c r="R42">
        <v>4764.59</v>
      </c>
      <c r="S42">
        <v>5703.68</v>
      </c>
      <c r="T42">
        <v>87</v>
      </c>
      <c r="U42">
        <v>2184.61</v>
      </c>
      <c r="V42">
        <v>43.62</v>
      </c>
      <c r="W42">
        <v>2140.9899999999998</v>
      </c>
      <c r="X42">
        <v>888.03</v>
      </c>
      <c r="Y42" t="s">
        <v>83</v>
      </c>
      <c r="Z42">
        <v>22814.720000000001</v>
      </c>
      <c r="AA42">
        <v>3756.3600000000006</v>
      </c>
    </row>
    <row r="43" spans="1:27" x14ac:dyDescent="0.3">
      <c r="A43" t="s">
        <v>210</v>
      </c>
      <c r="B43" s="1">
        <v>45098</v>
      </c>
      <c r="C43" t="s">
        <v>211</v>
      </c>
      <c r="D43" t="s">
        <v>89</v>
      </c>
      <c r="E43">
        <v>5</v>
      </c>
      <c r="F43" t="s">
        <v>28</v>
      </c>
      <c r="G43">
        <v>0</v>
      </c>
      <c r="H43" t="s">
        <v>212</v>
      </c>
      <c r="I43" t="s">
        <v>30</v>
      </c>
      <c r="J43">
        <v>43</v>
      </c>
      <c r="K43" t="s">
        <v>92</v>
      </c>
      <c r="L43" t="s">
        <v>66</v>
      </c>
      <c r="M43" s="1">
        <v>44896</v>
      </c>
      <c r="N43" t="s">
        <v>54</v>
      </c>
      <c r="O43" t="s">
        <v>93</v>
      </c>
      <c r="P43" t="s">
        <v>94</v>
      </c>
      <c r="Q43" t="s">
        <v>46</v>
      </c>
      <c r="R43">
        <v>1290.44</v>
      </c>
      <c r="S43">
        <v>1756.94</v>
      </c>
      <c r="T43">
        <v>226</v>
      </c>
      <c r="U43">
        <v>10864.11</v>
      </c>
      <c r="V43">
        <v>514.4</v>
      </c>
      <c r="W43">
        <v>10349.709999999999</v>
      </c>
      <c r="X43">
        <v>3284.52</v>
      </c>
      <c r="Y43" t="s">
        <v>56</v>
      </c>
      <c r="Z43">
        <v>8784.7000000000007</v>
      </c>
      <c r="AA43">
        <v>2332.5</v>
      </c>
    </row>
    <row r="44" spans="1:27" x14ac:dyDescent="0.3">
      <c r="A44" t="s">
        <v>213</v>
      </c>
      <c r="B44" s="1">
        <v>45114</v>
      </c>
      <c r="C44" t="s">
        <v>214</v>
      </c>
      <c r="D44" t="s">
        <v>102</v>
      </c>
      <c r="E44">
        <v>1</v>
      </c>
      <c r="F44" t="s">
        <v>28</v>
      </c>
      <c r="G44">
        <v>15</v>
      </c>
      <c r="H44" t="s">
        <v>215</v>
      </c>
      <c r="I44" t="s">
        <v>80</v>
      </c>
      <c r="J44">
        <v>49</v>
      </c>
      <c r="K44" t="s">
        <v>42</v>
      </c>
      <c r="L44" t="s">
        <v>32</v>
      </c>
      <c r="M44" s="1">
        <v>44661</v>
      </c>
      <c r="N44" t="s">
        <v>33</v>
      </c>
      <c r="O44" t="s">
        <v>103</v>
      </c>
      <c r="P44" t="s">
        <v>94</v>
      </c>
      <c r="Q44" t="s">
        <v>46</v>
      </c>
      <c r="R44">
        <v>4398.43</v>
      </c>
      <c r="S44">
        <v>6683.28</v>
      </c>
      <c r="T44">
        <v>152</v>
      </c>
      <c r="U44">
        <v>15847.25</v>
      </c>
      <c r="V44">
        <v>3846.2</v>
      </c>
      <c r="W44">
        <v>12001.05</v>
      </c>
      <c r="X44">
        <v>3880.99</v>
      </c>
      <c r="Y44" t="s">
        <v>83</v>
      </c>
      <c r="Z44">
        <v>6683.28</v>
      </c>
      <c r="AA44">
        <v>2284.8499999999995</v>
      </c>
    </row>
    <row r="45" spans="1:27" x14ac:dyDescent="0.3">
      <c r="A45" t="s">
        <v>216</v>
      </c>
      <c r="B45" s="1">
        <v>44978</v>
      </c>
      <c r="C45" t="s">
        <v>88</v>
      </c>
      <c r="D45" t="s">
        <v>153</v>
      </c>
      <c r="E45">
        <v>1</v>
      </c>
      <c r="F45" t="s">
        <v>51</v>
      </c>
      <c r="G45">
        <v>15</v>
      </c>
      <c r="H45" t="s">
        <v>91</v>
      </c>
      <c r="I45" t="s">
        <v>80</v>
      </c>
      <c r="J45">
        <v>58</v>
      </c>
      <c r="K45" t="s">
        <v>92</v>
      </c>
      <c r="L45" t="s">
        <v>43</v>
      </c>
      <c r="M45" s="1">
        <v>45131</v>
      </c>
      <c r="N45" t="s">
        <v>33</v>
      </c>
      <c r="O45" t="s">
        <v>156</v>
      </c>
      <c r="P45" t="s">
        <v>35</v>
      </c>
      <c r="Q45" t="s">
        <v>36</v>
      </c>
      <c r="R45">
        <v>2340.46</v>
      </c>
      <c r="S45">
        <v>2600.46</v>
      </c>
      <c r="T45">
        <v>245</v>
      </c>
      <c r="U45">
        <v>15932.86</v>
      </c>
      <c r="V45">
        <v>2558.7399999999998</v>
      </c>
      <c r="W45">
        <v>13374.12</v>
      </c>
      <c r="X45">
        <v>1209.19</v>
      </c>
      <c r="Y45" t="s">
        <v>56</v>
      </c>
      <c r="Z45">
        <v>2600.46</v>
      </c>
      <c r="AA45">
        <v>260</v>
      </c>
    </row>
    <row r="46" spans="1:27" x14ac:dyDescent="0.3">
      <c r="A46" t="s">
        <v>217</v>
      </c>
      <c r="B46" s="1">
        <v>45261</v>
      </c>
      <c r="C46" t="s">
        <v>218</v>
      </c>
      <c r="D46" t="s">
        <v>219</v>
      </c>
      <c r="E46">
        <v>5</v>
      </c>
      <c r="F46" t="s">
        <v>90</v>
      </c>
      <c r="G46">
        <v>23</v>
      </c>
      <c r="H46" t="s">
        <v>220</v>
      </c>
      <c r="I46" t="s">
        <v>30</v>
      </c>
      <c r="J46">
        <v>33</v>
      </c>
      <c r="K46" t="s">
        <v>92</v>
      </c>
      <c r="L46" t="s">
        <v>53</v>
      </c>
      <c r="M46" s="1">
        <v>45305</v>
      </c>
      <c r="N46" t="s">
        <v>33</v>
      </c>
      <c r="O46" t="s">
        <v>221</v>
      </c>
      <c r="P46" t="s">
        <v>110</v>
      </c>
      <c r="Q46" t="s">
        <v>46</v>
      </c>
      <c r="R46">
        <v>2704.31</v>
      </c>
      <c r="S46">
        <v>4105</v>
      </c>
      <c r="T46">
        <v>48</v>
      </c>
      <c r="U46">
        <v>6568.65</v>
      </c>
      <c r="V46">
        <v>1508.32</v>
      </c>
      <c r="W46">
        <v>5060.33</v>
      </c>
      <c r="X46">
        <v>223.31</v>
      </c>
      <c r="Y46" t="s">
        <v>83</v>
      </c>
      <c r="Z46">
        <v>20525</v>
      </c>
      <c r="AA46">
        <v>7003.4500000000007</v>
      </c>
    </row>
    <row r="47" spans="1:27" x14ac:dyDescent="0.3">
      <c r="A47" t="s">
        <v>222</v>
      </c>
      <c r="B47" s="1">
        <v>45085</v>
      </c>
      <c r="C47" t="s">
        <v>159</v>
      </c>
      <c r="D47" t="s">
        <v>223</v>
      </c>
      <c r="E47">
        <v>6</v>
      </c>
      <c r="F47" t="s">
        <v>28</v>
      </c>
      <c r="G47">
        <v>0</v>
      </c>
      <c r="H47" t="s">
        <v>160</v>
      </c>
      <c r="I47" t="s">
        <v>80</v>
      </c>
      <c r="J47">
        <v>55</v>
      </c>
      <c r="K47" t="s">
        <v>155</v>
      </c>
      <c r="L47" t="s">
        <v>108</v>
      </c>
      <c r="M47" s="1">
        <v>45619</v>
      </c>
      <c r="N47" t="s">
        <v>44</v>
      </c>
      <c r="O47" t="s">
        <v>224</v>
      </c>
      <c r="P47" t="s">
        <v>35</v>
      </c>
      <c r="Q47" t="s">
        <v>111</v>
      </c>
      <c r="R47">
        <v>3470.49</v>
      </c>
      <c r="S47">
        <v>5407.89</v>
      </c>
      <c r="T47">
        <v>141</v>
      </c>
      <c r="U47">
        <v>16730.79</v>
      </c>
      <c r="V47">
        <v>2016.96</v>
      </c>
      <c r="W47">
        <v>14713.83</v>
      </c>
      <c r="X47">
        <v>1667.91</v>
      </c>
      <c r="Y47" t="s">
        <v>37</v>
      </c>
      <c r="Z47">
        <v>32447.340000000004</v>
      </c>
      <c r="AA47">
        <v>11624.400000000003</v>
      </c>
    </row>
    <row r="48" spans="1:27" x14ac:dyDescent="0.3">
      <c r="A48" t="s">
        <v>225</v>
      </c>
      <c r="B48" s="1">
        <v>45266</v>
      </c>
      <c r="C48" t="s">
        <v>128</v>
      </c>
      <c r="D48" t="s">
        <v>226</v>
      </c>
      <c r="E48">
        <v>5</v>
      </c>
      <c r="F48" t="s">
        <v>51</v>
      </c>
      <c r="G48">
        <v>6</v>
      </c>
      <c r="H48" t="s">
        <v>130</v>
      </c>
      <c r="I48" t="s">
        <v>30</v>
      </c>
      <c r="J48">
        <v>36</v>
      </c>
      <c r="K48" t="s">
        <v>65</v>
      </c>
      <c r="L48" t="s">
        <v>81</v>
      </c>
      <c r="M48" s="1">
        <v>44599</v>
      </c>
      <c r="N48" t="s">
        <v>54</v>
      </c>
      <c r="O48" t="s">
        <v>227</v>
      </c>
      <c r="P48" t="s">
        <v>35</v>
      </c>
      <c r="Q48" t="s">
        <v>111</v>
      </c>
      <c r="R48">
        <v>762.02</v>
      </c>
      <c r="S48">
        <v>1161.9100000000001</v>
      </c>
      <c r="T48">
        <v>293</v>
      </c>
      <c r="U48">
        <v>1940.36</v>
      </c>
      <c r="V48">
        <v>332.85</v>
      </c>
      <c r="W48">
        <v>1607.51</v>
      </c>
      <c r="X48">
        <v>1519.04</v>
      </c>
      <c r="Y48" t="s">
        <v>47</v>
      </c>
      <c r="Z48">
        <v>5809.55</v>
      </c>
      <c r="AA48">
        <v>1999.4500000000005</v>
      </c>
    </row>
    <row r="49" spans="1:27" x14ac:dyDescent="0.3">
      <c r="A49" t="s">
        <v>228</v>
      </c>
      <c r="B49" s="1">
        <v>45290</v>
      </c>
      <c r="C49" t="s">
        <v>229</v>
      </c>
      <c r="D49" t="s">
        <v>230</v>
      </c>
      <c r="E49">
        <v>3</v>
      </c>
      <c r="F49" t="s">
        <v>28</v>
      </c>
      <c r="G49">
        <v>21</v>
      </c>
      <c r="H49" t="s">
        <v>231</v>
      </c>
      <c r="I49" t="s">
        <v>30</v>
      </c>
      <c r="J49">
        <v>52</v>
      </c>
      <c r="K49" t="s">
        <v>60</v>
      </c>
      <c r="L49" t="s">
        <v>53</v>
      </c>
      <c r="M49" s="1">
        <v>44657</v>
      </c>
      <c r="N49" t="s">
        <v>44</v>
      </c>
      <c r="O49" t="s">
        <v>232</v>
      </c>
      <c r="P49" t="s">
        <v>110</v>
      </c>
      <c r="Q49" t="s">
        <v>46</v>
      </c>
      <c r="R49">
        <v>4570.75</v>
      </c>
      <c r="S49">
        <v>5891.26</v>
      </c>
      <c r="T49">
        <v>285</v>
      </c>
      <c r="U49">
        <v>8725.6299999999992</v>
      </c>
      <c r="V49">
        <v>1826.01</v>
      </c>
      <c r="W49">
        <v>6899.62</v>
      </c>
      <c r="X49">
        <v>951.36</v>
      </c>
      <c r="Y49" t="s">
        <v>37</v>
      </c>
      <c r="Z49">
        <v>17673.78</v>
      </c>
      <c r="AA49">
        <v>3961.5300000000007</v>
      </c>
    </row>
    <row r="50" spans="1:27" x14ac:dyDescent="0.3">
      <c r="A50" t="s">
        <v>233</v>
      </c>
      <c r="B50" s="1">
        <v>45108</v>
      </c>
      <c r="C50" t="s">
        <v>211</v>
      </c>
      <c r="D50" t="s">
        <v>177</v>
      </c>
      <c r="E50">
        <v>2</v>
      </c>
      <c r="F50" t="s">
        <v>51</v>
      </c>
      <c r="G50">
        <v>9</v>
      </c>
      <c r="H50" t="s">
        <v>212</v>
      </c>
      <c r="I50" t="s">
        <v>30</v>
      </c>
      <c r="J50">
        <v>43</v>
      </c>
      <c r="K50" t="s">
        <v>92</v>
      </c>
      <c r="L50" t="s">
        <v>66</v>
      </c>
      <c r="M50" s="1">
        <v>44896</v>
      </c>
      <c r="N50" t="s">
        <v>54</v>
      </c>
      <c r="O50" t="s">
        <v>179</v>
      </c>
      <c r="P50" t="s">
        <v>35</v>
      </c>
      <c r="Q50" t="s">
        <v>46</v>
      </c>
      <c r="R50">
        <v>926.86</v>
      </c>
      <c r="S50">
        <v>1109.73</v>
      </c>
      <c r="T50">
        <v>287</v>
      </c>
      <c r="U50">
        <v>12763.24</v>
      </c>
      <c r="V50">
        <v>2966.28</v>
      </c>
      <c r="W50">
        <v>9796.9599999999991</v>
      </c>
      <c r="X50">
        <v>4077.61</v>
      </c>
      <c r="Y50" t="s">
        <v>83</v>
      </c>
      <c r="Z50">
        <v>2219.46</v>
      </c>
      <c r="AA50">
        <v>365.74</v>
      </c>
    </row>
    <row r="51" spans="1:27" x14ac:dyDescent="0.3">
      <c r="A51" t="s">
        <v>234</v>
      </c>
      <c r="B51" s="1">
        <v>45071</v>
      </c>
      <c r="C51" t="s">
        <v>235</v>
      </c>
      <c r="D51" t="s">
        <v>236</v>
      </c>
      <c r="E51">
        <v>5</v>
      </c>
      <c r="F51" t="s">
        <v>90</v>
      </c>
      <c r="G51">
        <v>4</v>
      </c>
      <c r="H51" t="s">
        <v>237</v>
      </c>
      <c r="I51" t="s">
        <v>80</v>
      </c>
      <c r="J51">
        <v>26</v>
      </c>
      <c r="K51" t="s">
        <v>155</v>
      </c>
      <c r="L51" t="s">
        <v>53</v>
      </c>
      <c r="M51" s="1">
        <v>45759</v>
      </c>
      <c r="N51" t="s">
        <v>54</v>
      </c>
      <c r="O51" t="s">
        <v>238</v>
      </c>
      <c r="P51" t="s">
        <v>68</v>
      </c>
      <c r="Q51" t="s">
        <v>120</v>
      </c>
      <c r="R51">
        <v>3957.37</v>
      </c>
      <c r="S51">
        <v>5045.3500000000004</v>
      </c>
      <c r="T51">
        <v>227</v>
      </c>
      <c r="U51">
        <v>1893.59</v>
      </c>
      <c r="V51">
        <v>6.08</v>
      </c>
      <c r="W51">
        <v>1887.51</v>
      </c>
      <c r="X51">
        <v>2769.97</v>
      </c>
      <c r="Y51" t="s">
        <v>47</v>
      </c>
      <c r="Z51">
        <v>25226.75</v>
      </c>
      <c r="AA51">
        <v>5439.9000000000024</v>
      </c>
    </row>
    <row r="52" spans="1:27" x14ac:dyDescent="0.3">
      <c r="A52" t="s">
        <v>239</v>
      </c>
      <c r="B52" s="1">
        <v>45013</v>
      </c>
      <c r="C52" t="s">
        <v>240</v>
      </c>
      <c r="D52" t="s">
        <v>223</v>
      </c>
      <c r="E52">
        <v>2</v>
      </c>
      <c r="F52" t="s">
        <v>78</v>
      </c>
      <c r="G52">
        <v>21</v>
      </c>
      <c r="H52" t="s">
        <v>241</v>
      </c>
      <c r="I52" t="s">
        <v>30</v>
      </c>
      <c r="J52">
        <v>22</v>
      </c>
      <c r="K52" t="s">
        <v>155</v>
      </c>
      <c r="L52" t="s">
        <v>108</v>
      </c>
      <c r="M52" s="1">
        <v>45190</v>
      </c>
      <c r="N52" t="s">
        <v>33</v>
      </c>
      <c r="O52" t="s">
        <v>224</v>
      </c>
      <c r="P52" t="s">
        <v>35</v>
      </c>
      <c r="Q52" t="s">
        <v>111</v>
      </c>
      <c r="R52">
        <v>3470.49</v>
      </c>
      <c r="S52">
        <v>5407.89</v>
      </c>
      <c r="T52">
        <v>141</v>
      </c>
      <c r="U52">
        <v>19553.73</v>
      </c>
      <c r="V52">
        <v>1332.8</v>
      </c>
      <c r="W52">
        <v>18220.93</v>
      </c>
      <c r="X52">
        <v>4508.3</v>
      </c>
      <c r="Y52" t="s">
        <v>37</v>
      </c>
      <c r="Z52">
        <v>10815.78</v>
      </c>
      <c r="AA52">
        <v>3874.8000000000011</v>
      </c>
    </row>
    <row r="53" spans="1:27" x14ac:dyDescent="0.3">
      <c r="A53" t="s">
        <v>242</v>
      </c>
      <c r="B53" s="1">
        <v>45229</v>
      </c>
      <c r="C53" t="s">
        <v>243</v>
      </c>
      <c r="D53" t="s">
        <v>183</v>
      </c>
      <c r="E53">
        <v>2</v>
      </c>
      <c r="F53" t="s">
        <v>28</v>
      </c>
      <c r="G53">
        <v>23</v>
      </c>
      <c r="H53" t="s">
        <v>244</v>
      </c>
      <c r="I53" t="s">
        <v>30</v>
      </c>
      <c r="J53">
        <v>35</v>
      </c>
      <c r="K53" t="s">
        <v>31</v>
      </c>
      <c r="L53" t="s">
        <v>43</v>
      </c>
      <c r="M53" s="1">
        <v>45259</v>
      </c>
      <c r="N53" t="s">
        <v>44</v>
      </c>
      <c r="O53" t="s">
        <v>185</v>
      </c>
      <c r="P53" t="s">
        <v>110</v>
      </c>
      <c r="Q53" t="s">
        <v>36</v>
      </c>
      <c r="R53">
        <v>1358.27</v>
      </c>
      <c r="S53">
        <v>1886.86</v>
      </c>
      <c r="T53">
        <v>153</v>
      </c>
      <c r="U53">
        <v>16453.349999999999</v>
      </c>
      <c r="V53">
        <v>3027.72</v>
      </c>
      <c r="W53">
        <v>13425.63</v>
      </c>
      <c r="X53">
        <v>1644.86</v>
      </c>
      <c r="Y53" t="s">
        <v>83</v>
      </c>
      <c r="Z53">
        <v>3773.72</v>
      </c>
      <c r="AA53">
        <v>1057.1799999999998</v>
      </c>
    </row>
    <row r="54" spans="1:27" x14ac:dyDescent="0.3">
      <c r="A54" t="s">
        <v>245</v>
      </c>
      <c r="B54" s="1">
        <v>45235</v>
      </c>
      <c r="C54" t="s">
        <v>171</v>
      </c>
      <c r="D54" t="s">
        <v>246</v>
      </c>
      <c r="E54">
        <v>6</v>
      </c>
      <c r="F54" t="s">
        <v>78</v>
      </c>
      <c r="G54">
        <v>11</v>
      </c>
      <c r="H54" t="s">
        <v>173</v>
      </c>
      <c r="I54" t="s">
        <v>30</v>
      </c>
      <c r="J54">
        <v>22</v>
      </c>
      <c r="K54" t="s">
        <v>155</v>
      </c>
      <c r="L54" t="s">
        <v>32</v>
      </c>
      <c r="M54" s="1">
        <v>45701</v>
      </c>
      <c r="N54" t="s">
        <v>44</v>
      </c>
      <c r="O54" t="s">
        <v>247</v>
      </c>
      <c r="P54" t="s">
        <v>110</v>
      </c>
      <c r="Q54" t="s">
        <v>120</v>
      </c>
      <c r="R54">
        <v>4133.24</v>
      </c>
      <c r="S54">
        <v>6302.13</v>
      </c>
      <c r="T54">
        <v>299</v>
      </c>
      <c r="U54">
        <v>14154.8</v>
      </c>
      <c r="V54">
        <v>3352.66</v>
      </c>
      <c r="W54">
        <v>10802.14</v>
      </c>
      <c r="X54">
        <v>1054.77</v>
      </c>
      <c r="Y54" t="s">
        <v>37</v>
      </c>
      <c r="Z54">
        <v>37812.78</v>
      </c>
      <c r="AA54">
        <v>13013.340000000002</v>
      </c>
    </row>
    <row r="55" spans="1:27" x14ac:dyDescent="0.3">
      <c r="A55" t="s">
        <v>248</v>
      </c>
      <c r="B55" s="1">
        <v>45008</v>
      </c>
      <c r="C55" t="s">
        <v>249</v>
      </c>
      <c r="D55" t="s">
        <v>134</v>
      </c>
      <c r="E55">
        <v>3</v>
      </c>
      <c r="F55" t="s">
        <v>28</v>
      </c>
      <c r="G55">
        <v>2</v>
      </c>
      <c r="H55" t="s">
        <v>250</v>
      </c>
      <c r="I55" t="s">
        <v>30</v>
      </c>
      <c r="J55">
        <v>53</v>
      </c>
      <c r="K55" t="s">
        <v>92</v>
      </c>
      <c r="L55" t="s">
        <v>81</v>
      </c>
      <c r="M55" s="1">
        <v>45745</v>
      </c>
      <c r="N55" t="s">
        <v>54</v>
      </c>
      <c r="O55" t="s">
        <v>136</v>
      </c>
      <c r="P55" t="s">
        <v>68</v>
      </c>
      <c r="Q55" t="s">
        <v>46</v>
      </c>
      <c r="R55">
        <v>3023.88</v>
      </c>
      <c r="S55">
        <v>3903.42</v>
      </c>
      <c r="T55">
        <v>217</v>
      </c>
      <c r="U55">
        <v>10063.23</v>
      </c>
      <c r="V55">
        <v>2088.39</v>
      </c>
      <c r="W55">
        <v>7974.84</v>
      </c>
      <c r="X55">
        <v>3566.82</v>
      </c>
      <c r="Y55" t="s">
        <v>37</v>
      </c>
      <c r="Z55">
        <v>11710.26</v>
      </c>
      <c r="AA55">
        <v>2638.62</v>
      </c>
    </row>
    <row r="56" spans="1:27" x14ac:dyDescent="0.3">
      <c r="A56" t="s">
        <v>251</v>
      </c>
      <c r="B56" s="1">
        <v>45017</v>
      </c>
      <c r="C56" t="s">
        <v>252</v>
      </c>
      <c r="D56" t="s">
        <v>106</v>
      </c>
      <c r="E56">
        <v>2</v>
      </c>
      <c r="F56" t="s">
        <v>78</v>
      </c>
      <c r="G56">
        <v>12</v>
      </c>
      <c r="H56" t="s">
        <v>253</v>
      </c>
      <c r="I56" t="s">
        <v>30</v>
      </c>
      <c r="J56">
        <v>29</v>
      </c>
      <c r="K56" t="s">
        <v>31</v>
      </c>
      <c r="L56" t="s">
        <v>32</v>
      </c>
      <c r="M56" s="1">
        <v>45154</v>
      </c>
      <c r="N56" t="s">
        <v>33</v>
      </c>
      <c r="O56" t="s">
        <v>109</v>
      </c>
      <c r="P56" t="s">
        <v>110</v>
      </c>
      <c r="Q56" t="s">
        <v>111</v>
      </c>
      <c r="R56">
        <v>1622.17</v>
      </c>
      <c r="S56">
        <v>1993.72</v>
      </c>
      <c r="T56">
        <v>262</v>
      </c>
      <c r="U56">
        <v>2788.65</v>
      </c>
      <c r="V56">
        <v>368.78</v>
      </c>
      <c r="W56">
        <v>2419.87</v>
      </c>
      <c r="X56">
        <v>1403.62</v>
      </c>
      <c r="Y56" t="s">
        <v>83</v>
      </c>
      <c r="Z56">
        <v>3987.44</v>
      </c>
      <c r="AA56">
        <v>743.09999999999991</v>
      </c>
    </row>
    <row r="57" spans="1:27" x14ac:dyDescent="0.3">
      <c r="A57" t="s">
        <v>254</v>
      </c>
      <c r="B57" s="1">
        <v>45061</v>
      </c>
      <c r="C57" t="s">
        <v>105</v>
      </c>
      <c r="D57" t="s">
        <v>255</v>
      </c>
      <c r="E57">
        <v>1</v>
      </c>
      <c r="F57" t="s">
        <v>78</v>
      </c>
      <c r="G57">
        <v>11</v>
      </c>
      <c r="H57" t="s">
        <v>107</v>
      </c>
      <c r="I57" t="s">
        <v>80</v>
      </c>
      <c r="J57">
        <v>22</v>
      </c>
      <c r="K57" t="s">
        <v>60</v>
      </c>
      <c r="L57" t="s">
        <v>108</v>
      </c>
      <c r="M57" s="1">
        <v>45351</v>
      </c>
      <c r="N57" t="s">
        <v>54</v>
      </c>
      <c r="O57" t="s">
        <v>256</v>
      </c>
      <c r="P57" t="s">
        <v>110</v>
      </c>
      <c r="Q57" t="s">
        <v>36</v>
      </c>
      <c r="R57">
        <v>1637.53</v>
      </c>
      <c r="S57">
        <v>1892.5</v>
      </c>
      <c r="T57">
        <v>169</v>
      </c>
      <c r="U57">
        <v>1183.28</v>
      </c>
      <c r="V57">
        <v>134.19999999999999</v>
      </c>
      <c r="W57">
        <v>1049.08</v>
      </c>
      <c r="X57">
        <v>1980.34</v>
      </c>
      <c r="Y57" t="s">
        <v>37</v>
      </c>
      <c r="Z57">
        <v>1892.5</v>
      </c>
      <c r="AA57">
        <v>254.97000000000003</v>
      </c>
    </row>
    <row r="58" spans="1:27" x14ac:dyDescent="0.3">
      <c r="A58" t="s">
        <v>257</v>
      </c>
      <c r="B58" s="1">
        <v>44995</v>
      </c>
      <c r="C58" t="s">
        <v>258</v>
      </c>
      <c r="D58" t="s">
        <v>259</v>
      </c>
      <c r="E58">
        <v>4</v>
      </c>
      <c r="F58" t="s">
        <v>51</v>
      </c>
      <c r="G58">
        <v>19</v>
      </c>
      <c r="H58" t="s">
        <v>260</v>
      </c>
      <c r="I58" t="s">
        <v>80</v>
      </c>
      <c r="J58">
        <v>54</v>
      </c>
      <c r="K58" t="s">
        <v>65</v>
      </c>
      <c r="L58" t="s">
        <v>108</v>
      </c>
      <c r="M58" s="1">
        <v>45431</v>
      </c>
      <c r="N58" t="s">
        <v>54</v>
      </c>
      <c r="O58" t="s">
        <v>261</v>
      </c>
      <c r="P58" t="s">
        <v>94</v>
      </c>
      <c r="Q58" t="s">
        <v>111</v>
      </c>
      <c r="R58">
        <v>4426.51</v>
      </c>
      <c r="S58">
        <v>5123.7299999999996</v>
      </c>
      <c r="T58">
        <v>298</v>
      </c>
      <c r="U58">
        <v>15664.97</v>
      </c>
      <c r="V58">
        <v>3464.54</v>
      </c>
      <c r="W58">
        <v>12200.43</v>
      </c>
      <c r="X58">
        <v>3912.95</v>
      </c>
      <c r="Y58" t="s">
        <v>83</v>
      </c>
      <c r="Z58">
        <v>20494.919999999998</v>
      </c>
      <c r="AA58">
        <v>2788.8799999999974</v>
      </c>
    </row>
    <row r="59" spans="1:27" x14ac:dyDescent="0.3">
      <c r="A59" t="s">
        <v>262</v>
      </c>
      <c r="B59" s="1">
        <v>44936</v>
      </c>
      <c r="C59" t="s">
        <v>263</v>
      </c>
      <c r="D59" t="s">
        <v>255</v>
      </c>
      <c r="E59">
        <v>4</v>
      </c>
      <c r="F59" t="s">
        <v>90</v>
      </c>
      <c r="G59">
        <v>1</v>
      </c>
      <c r="H59" t="s">
        <v>264</v>
      </c>
      <c r="I59" t="s">
        <v>80</v>
      </c>
      <c r="J59">
        <v>60</v>
      </c>
      <c r="K59" t="s">
        <v>42</v>
      </c>
      <c r="L59" t="s">
        <v>53</v>
      </c>
      <c r="M59" s="1">
        <v>44647</v>
      </c>
      <c r="N59" t="s">
        <v>54</v>
      </c>
      <c r="O59" t="s">
        <v>256</v>
      </c>
      <c r="P59" t="s">
        <v>110</v>
      </c>
      <c r="Q59" t="s">
        <v>36</v>
      </c>
      <c r="R59">
        <v>1637.53</v>
      </c>
      <c r="S59">
        <v>1892.5</v>
      </c>
      <c r="T59">
        <v>169</v>
      </c>
      <c r="U59">
        <v>13601.92</v>
      </c>
      <c r="V59">
        <v>2234.14</v>
      </c>
      <c r="W59">
        <v>11367.78</v>
      </c>
      <c r="X59">
        <v>204.05</v>
      </c>
      <c r="Y59" t="s">
        <v>56</v>
      </c>
      <c r="Z59">
        <v>7570</v>
      </c>
      <c r="AA59">
        <v>1019.8800000000001</v>
      </c>
    </row>
    <row r="60" spans="1:27" x14ac:dyDescent="0.3">
      <c r="A60" t="s">
        <v>265</v>
      </c>
      <c r="B60" s="1">
        <v>45228</v>
      </c>
      <c r="C60" t="s">
        <v>266</v>
      </c>
      <c r="D60" t="s">
        <v>202</v>
      </c>
      <c r="E60">
        <v>1</v>
      </c>
      <c r="F60" t="s">
        <v>90</v>
      </c>
      <c r="G60">
        <v>19</v>
      </c>
      <c r="H60" t="s">
        <v>267</v>
      </c>
      <c r="I60" t="s">
        <v>80</v>
      </c>
      <c r="J60">
        <v>37</v>
      </c>
      <c r="K60" t="s">
        <v>73</v>
      </c>
      <c r="L60" t="s">
        <v>108</v>
      </c>
      <c r="M60" s="1">
        <v>44909</v>
      </c>
      <c r="N60" t="s">
        <v>33</v>
      </c>
      <c r="O60" t="s">
        <v>204</v>
      </c>
      <c r="P60" t="s">
        <v>110</v>
      </c>
      <c r="Q60" t="s">
        <v>111</v>
      </c>
      <c r="R60">
        <v>830.87</v>
      </c>
      <c r="S60">
        <v>1283.0999999999999</v>
      </c>
      <c r="T60">
        <v>46</v>
      </c>
      <c r="U60">
        <v>2539.86</v>
      </c>
      <c r="V60">
        <v>445.48</v>
      </c>
      <c r="W60">
        <v>2094.38</v>
      </c>
      <c r="X60">
        <v>1236.23</v>
      </c>
      <c r="Y60" t="s">
        <v>47</v>
      </c>
      <c r="Z60">
        <v>1283.0999999999999</v>
      </c>
      <c r="AA60">
        <v>452.2299999999999</v>
      </c>
    </row>
    <row r="61" spans="1:27" x14ac:dyDescent="0.3">
      <c r="A61" t="s">
        <v>268</v>
      </c>
      <c r="B61" s="1">
        <v>44992</v>
      </c>
      <c r="C61" t="s">
        <v>138</v>
      </c>
      <c r="D61" t="s">
        <v>269</v>
      </c>
      <c r="E61">
        <v>5</v>
      </c>
      <c r="F61" t="s">
        <v>28</v>
      </c>
      <c r="G61">
        <v>15</v>
      </c>
      <c r="H61" t="s">
        <v>139</v>
      </c>
      <c r="I61" t="s">
        <v>80</v>
      </c>
      <c r="J61">
        <v>25</v>
      </c>
      <c r="K61" t="s">
        <v>53</v>
      </c>
      <c r="L61" t="s">
        <v>81</v>
      </c>
      <c r="M61" s="1">
        <v>44756</v>
      </c>
      <c r="N61" t="s">
        <v>54</v>
      </c>
      <c r="O61" t="s">
        <v>270</v>
      </c>
      <c r="P61" t="s">
        <v>35</v>
      </c>
      <c r="Q61" t="s">
        <v>120</v>
      </c>
      <c r="R61">
        <v>4675.05</v>
      </c>
      <c r="S61">
        <v>5769.35</v>
      </c>
      <c r="T61">
        <v>260</v>
      </c>
      <c r="U61">
        <v>5834.29</v>
      </c>
      <c r="V61">
        <v>634.52</v>
      </c>
      <c r="W61">
        <v>5199.7700000000004</v>
      </c>
      <c r="X61">
        <v>4080.26</v>
      </c>
      <c r="Y61" t="s">
        <v>83</v>
      </c>
      <c r="Z61">
        <v>28846.75</v>
      </c>
      <c r="AA61">
        <v>5471.5000000000009</v>
      </c>
    </row>
    <row r="62" spans="1:27" x14ac:dyDescent="0.3">
      <c r="A62" t="s">
        <v>271</v>
      </c>
      <c r="B62" s="1">
        <v>45137</v>
      </c>
      <c r="C62" t="s">
        <v>263</v>
      </c>
      <c r="D62" t="s">
        <v>272</v>
      </c>
      <c r="E62">
        <v>3</v>
      </c>
      <c r="F62" t="s">
        <v>51</v>
      </c>
      <c r="G62">
        <v>23</v>
      </c>
      <c r="H62" t="s">
        <v>264</v>
      </c>
      <c r="I62" t="s">
        <v>80</v>
      </c>
      <c r="J62">
        <v>60</v>
      </c>
      <c r="K62" t="s">
        <v>42</v>
      </c>
      <c r="L62" t="s">
        <v>53</v>
      </c>
      <c r="M62" s="1">
        <v>44647</v>
      </c>
      <c r="N62" t="s">
        <v>54</v>
      </c>
      <c r="O62" t="s">
        <v>273</v>
      </c>
      <c r="P62" t="s">
        <v>68</v>
      </c>
      <c r="Q62" t="s">
        <v>111</v>
      </c>
      <c r="R62">
        <v>1137.26</v>
      </c>
      <c r="S62">
        <v>1649.58</v>
      </c>
      <c r="T62">
        <v>243</v>
      </c>
      <c r="U62">
        <v>14457.23</v>
      </c>
      <c r="V62">
        <v>373.59</v>
      </c>
      <c r="W62">
        <v>14083.64</v>
      </c>
      <c r="X62">
        <v>2219.0500000000002</v>
      </c>
      <c r="Y62" t="s">
        <v>37</v>
      </c>
      <c r="Z62">
        <v>4948.74</v>
      </c>
      <c r="AA62">
        <v>1536.9599999999998</v>
      </c>
    </row>
    <row r="63" spans="1:27" x14ac:dyDescent="0.3">
      <c r="A63" t="s">
        <v>274</v>
      </c>
      <c r="B63" s="1">
        <v>45131</v>
      </c>
      <c r="C63" t="s">
        <v>275</v>
      </c>
      <c r="D63" t="s">
        <v>276</v>
      </c>
      <c r="E63">
        <v>5</v>
      </c>
      <c r="F63" t="s">
        <v>90</v>
      </c>
      <c r="G63">
        <v>10</v>
      </c>
      <c r="H63" t="s">
        <v>277</v>
      </c>
      <c r="I63" t="s">
        <v>30</v>
      </c>
      <c r="J63">
        <v>27</v>
      </c>
      <c r="K63" t="s">
        <v>42</v>
      </c>
      <c r="L63" t="s">
        <v>53</v>
      </c>
      <c r="M63" s="1">
        <v>45434</v>
      </c>
      <c r="N63" t="s">
        <v>54</v>
      </c>
      <c r="O63" t="s">
        <v>278</v>
      </c>
      <c r="P63" t="s">
        <v>35</v>
      </c>
      <c r="Q63" t="s">
        <v>111</v>
      </c>
      <c r="R63">
        <v>3479.48</v>
      </c>
      <c r="S63">
        <v>5364.57</v>
      </c>
      <c r="T63">
        <v>41</v>
      </c>
      <c r="U63">
        <v>6723.76</v>
      </c>
      <c r="V63">
        <v>994.42</v>
      </c>
      <c r="W63">
        <v>5729.34</v>
      </c>
      <c r="X63">
        <v>3980.73</v>
      </c>
      <c r="Y63" t="s">
        <v>37</v>
      </c>
      <c r="Z63">
        <v>26822.85</v>
      </c>
      <c r="AA63">
        <v>9425.4499999999989</v>
      </c>
    </row>
    <row r="64" spans="1:27" x14ac:dyDescent="0.3">
      <c r="A64" t="s">
        <v>279</v>
      </c>
      <c r="B64" s="1">
        <v>45278</v>
      </c>
      <c r="C64" t="s">
        <v>138</v>
      </c>
      <c r="D64" t="s">
        <v>177</v>
      </c>
      <c r="E64">
        <v>1</v>
      </c>
      <c r="F64" t="s">
        <v>90</v>
      </c>
      <c r="G64">
        <v>9</v>
      </c>
      <c r="H64" t="s">
        <v>139</v>
      </c>
      <c r="I64" t="s">
        <v>80</v>
      </c>
      <c r="J64">
        <v>25</v>
      </c>
      <c r="K64" t="s">
        <v>53</v>
      </c>
      <c r="L64" t="s">
        <v>81</v>
      </c>
      <c r="M64" s="1">
        <v>44756</v>
      </c>
      <c r="N64" t="s">
        <v>54</v>
      </c>
      <c r="O64" t="s">
        <v>179</v>
      </c>
      <c r="P64" t="s">
        <v>35</v>
      </c>
      <c r="Q64" t="s">
        <v>46</v>
      </c>
      <c r="R64">
        <v>926.86</v>
      </c>
      <c r="S64">
        <v>1109.73</v>
      </c>
      <c r="T64">
        <v>287</v>
      </c>
      <c r="U64">
        <v>14608.64</v>
      </c>
      <c r="V64">
        <v>3424.18</v>
      </c>
      <c r="W64">
        <v>11184.46</v>
      </c>
      <c r="X64">
        <v>2859.85</v>
      </c>
      <c r="Y64" t="s">
        <v>37</v>
      </c>
      <c r="Z64">
        <v>1109.73</v>
      </c>
      <c r="AA64">
        <v>182.87</v>
      </c>
    </row>
    <row r="65" spans="1:27" x14ac:dyDescent="0.3">
      <c r="A65" t="s">
        <v>280</v>
      </c>
      <c r="B65" s="1">
        <v>44968</v>
      </c>
      <c r="C65" t="s">
        <v>281</v>
      </c>
      <c r="D65" t="s">
        <v>272</v>
      </c>
      <c r="E65">
        <v>2</v>
      </c>
      <c r="F65" t="s">
        <v>51</v>
      </c>
      <c r="G65">
        <v>23</v>
      </c>
      <c r="H65" t="s">
        <v>282</v>
      </c>
      <c r="I65" t="s">
        <v>80</v>
      </c>
      <c r="J65">
        <v>43</v>
      </c>
      <c r="K65" t="s">
        <v>73</v>
      </c>
      <c r="L65" t="s">
        <v>108</v>
      </c>
      <c r="M65" s="1">
        <v>44601</v>
      </c>
      <c r="N65" t="s">
        <v>44</v>
      </c>
      <c r="O65" t="s">
        <v>273</v>
      </c>
      <c r="P65" t="s">
        <v>68</v>
      </c>
      <c r="Q65" t="s">
        <v>111</v>
      </c>
      <c r="R65">
        <v>1137.26</v>
      </c>
      <c r="S65">
        <v>1649.58</v>
      </c>
      <c r="T65">
        <v>243</v>
      </c>
      <c r="U65">
        <v>19874.669999999998</v>
      </c>
      <c r="V65">
        <v>1116.8900000000001</v>
      </c>
      <c r="W65">
        <v>18757.78</v>
      </c>
      <c r="X65">
        <v>122.56</v>
      </c>
      <c r="Y65" t="s">
        <v>56</v>
      </c>
      <c r="Z65">
        <v>3299.16</v>
      </c>
      <c r="AA65">
        <v>1024.6399999999999</v>
      </c>
    </row>
    <row r="66" spans="1:27" x14ac:dyDescent="0.3">
      <c r="A66" t="s">
        <v>283</v>
      </c>
      <c r="B66" s="1">
        <v>44976</v>
      </c>
      <c r="C66" t="s">
        <v>284</v>
      </c>
      <c r="D66" t="s">
        <v>259</v>
      </c>
      <c r="E66">
        <v>4</v>
      </c>
      <c r="F66" t="s">
        <v>78</v>
      </c>
      <c r="G66">
        <v>23</v>
      </c>
      <c r="H66" t="s">
        <v>285</v>
      </c>
      <c r="I66" t="s">
        <v>80</v>
      </c>
      <c r="J66">
        <v>28</v>
      </c>
      <c r="K66" t="s">
        <v>60</v>
      </c>
      <c r="L66" t="s">
        <v>81</v>
      </c>
      <c r="M66" s="1">
        <v>45046</v>
      </c>
      <c r="N66" t="s">
        <v>44</v>
      </c>
      <c r="O66" t="s">
        <v>261</v>
      </c>
      <c r="P66" t="s">
        <v>94</v>
      </c>
      <c r="Q66" t="s">
        <v>111</v>
      </c>
      <c r="R66">
        <v>4426.51</v>
      </c>
      <c r="S66">
        <v>5123.7299999999996</v>
      </c>
      <c r="T66">
        <v>298</v>
      </c>
      <c r="U66">
        <v>18235.96</v>
      </c>
      <c r="V66">
        <v>1276.19</v>
      </c>
      <c r="W66">
        <v>16959.77</v>
      </c>
      <c r="X66">
        <v>2426.14</v>
      </c>
      <c r="Y66" t="s">
        <v>56</v>
      </c>
      <c r="Z66">
        <v>20494.919999999998</v>
      </c>
      <c r="AA66">
        <v>2788.8799999999974</v>
      </c>
    </row>
    <row r="67" spans="1:27" x14ac:dyDescent="0.3">
      <c r="A67" t="s">
        <v>286</v>
      </c>
      <c r="B67" s="1">
        <v>45211</v>
      </c>
      <c r="C67" t="s">
        <v>206</v>
      </c>
      <c r="D67" t="s">
        <v>287</v>
      </c>
      <c r="E67">
        <v>4</v>
      </c>
      <c r="F67" t="s">
        <v>51</v>
      </c>
      <c r="G67">
        <v>20</v>
      </c>
      <c r="H67" t="s">
        <v>208</v>
      </c>
      <c r="I67" t="s">
        <v>30</v>
      </c>
      <c r="J67">
        <v>23</v>
      </c>
      <c r="K67" t="s">
        <v>155</v>
      </c>
      <c r="L67" t="s">
        <v>108</v>
      </c>
      <c r="M67" s="1">
        <v>44688</v>
      </c>
      <c r="N67" t="s">
        <v>44</v>
      </c>
      <c r="O67" t="s">
        <v>288</v>
      </c>
      <c r="P67" t="s">
        <v>68</v>
      </c>
      <c r="Q67" t="s">
        <v>46</v>
      </c>
      <c r="R67">
        <v>2345.7800000000002</v>
      </c>
      <c r="S67">
        <v>2891.96</v>
      </c>
      <c r="T67">
        <v>122</v>
      </c>
      <c r="U67">
        <v>16301.71</v>
      </c>
      <c r="V67">
        <v>3696.8</v>
      </c>
      <c r="W67">
        <v>12604.91</v>
      </c>
      <c r="X67">
        <v>4211.3900000000003</v>
      </c>
      <c r="Y67" t="s">
        <v>56</v>
      </c>
      <c r="Z67">
        <v>11567.84</v>
      </c>
      <c r="AA67">
        <v>2184.7199999999993</v>
      </c>
    </row>
    <row r="68" spans="1:27" x14ac:dyDescent="0.3">
      <c r="A68" t="s">
        <v>289</v>
      </c>
      <c r="B68" s="1">
        <v>45109</v>
      </c>
      <c r="C68" t="s">
        <v>187</v>
      </c>
      <c r="D68" t="s">
        <v>290</v>
      </c>
      <c r="E68">
        <v>6</v>
      </c>
      <c r="F68" t="s">
        <v>90</v>
      </c>
      <c r="G68">
        <v>11</v>
      </c>
      <c r="H68" t="s">
        <v>188</v>
      </c>
      <c r="I68" t="s">
        <v>80</v>
      </c>
      <c r="J68">
        <v>35</v>
      </c>
      <c r="K68" t="s">
        <v>60</v>
      </c>
      <c r="L68" t="s">
        <v>53</v>
      </c>
      <c r="M68" s="1">
        <v>45052</v>
      </c>
      <c r="N68" t="s">
        <v>44</v>
      </c>
      <c r="O68" t="s">
        <v>291</v>
      </c>
      <c r="P68" t="s">
        <v>68</v>
      </c>
      <c r="Q68" t="s">
        <v>111</v>
      </c>
      <c r="R68">
        <v>2649.82</v>
      </c>
      <c r="S68">
        <v>3522.16</v>
      </c>
      <c r="T68">
        <v>205</v>
      </c>
      <c r="U68">
        <v>10221.49</v>
      </c>
      <c r="V68">
        <v>2273.56</v>
      </c>
      <c r="W68">
        <v>7947.93</v>
      </c>
      <c r="X68">
        <v>703.77</v>
      </c>
      <c r="Y68" t="s">
        <v>37</v>
      </c>
      <c r="Z68">
        <v>21132.959999999999</v>
      </c>
      <c r="AA68">
        <v>5234.0399999999981</v>
      </c>
    </row>
    <row r="69" spans="1:27" x14ac:dyDescent="0.3">
      <c r="A69" t="s">
        <v>292</v>
      </c>
      <c r="B69" s="1">
        <v>44941</v>
      </c>
      <c r="C69" t="s">
        <v>293</v>
      </c>
      <c r="D69" t="s">
        <v>219</v>
      </c>
      <c r="E69">
        <v>6</v>
      </c>
      <c r="F69" t="s">
        <v>28</v>
      </c>
      <c r="G69">
        <v>10</v>
      </c>
      <c r="H69" t="s">
        <v>294</v>
      </c>
      <c r="I69" t="s">
        <v>80</v>
      </c>
      <c r="J69">
        <v>56</v>
      </c>
      <c r="K69" t="s">
        <v>53</v>
      </c>
      <c r="L69" t="s">
        <v>66</v>
      </c>
      <c r="M69" s="1">
        <v>45099</v>
      </c>
      <c r="N69" t="s">
        <v>54</v>
      </c>
      <c r="O69" t="s">
        <v>221</v>
      </c>
      <c r="P69" t="s">
        <v>110</v>
      </c>
      <c r="Q69" t="s">
        <v>46</v>
      </c>
      <c r="R69">
        <v>2704.31</v>
      </c>
      <c r="S69">
        <v>4105</v>
      </c>
      <c r="T69">
        <v>48</v>
      </c>
      <c r="U69">
        <v>13900.96</v>
      </c>
      <c r="V69">
        <v>2441.65</v>
      </c>
      <c r="W69">
        <v>11459.31</v>
      </c>
      <c r="X69">
        <v>2774.39</v>
      </c>
      <c r="Y69" t="s">
        <v>47</v>
      </c>
      <c r="Z69">
        <v>24630</v>
      </c>
      <c r="AA69">
        <v>8404.14</v>
      </c>
    </row>
    <row r="70" spans="1:27" x14ac:dyDescent="0.3">
      <c r="A70" t="s">
        <v>295</v>
      </c>
      <c r="B70" s="1">
        <v>45003</v>
      </c>
      <c r="C70" t="s">
        <v>171</v>
      </c>
      <c r="D70" t="s">
        <v>117</v>
      </c>
      <c r="E70">
        <v>6</v>
      </c>
      <c r="F70" t="s">
        <v>51</v>
      </c>
      <c r="G70">
        <v>16</v>
      </c>
      <c r="H70" t="s">
        <v>173</v>
      </c>
      <c r="I70" t="s">
        <v>30</v>
      </c>
      <c r="J70">
        <v>22</v>
      </c>
      <c r="K70" t="s">
        <v>155</v>
      </c>
      <c r="L70" t="s">
        <v>32</v>
      </c>
      <c r="M70" s="1">
        <v>45701</v>
      </c>
      <c r="N70" t="s">
        <v>44</v>
      </c>
      <c r="O70" t="s">
        <v>119</v>
      </c>
      <c r="P70" t="s">
        <v>110</v>
      </c>
      <c r="Q70" t="s">
        <v>120</v>
      </c>
      <c r="R70">
        <v>1390.81</v>
      </c>
      <c r="S70">
        <v>1874.61</v>
      </c>
      <c r="T70">
        <v>262</v>
      </c>
      <c r="U70">
        <v>17915.580000000002</v>
      </c>
      <c r="V70">
        <v>2708.11</v>
      </c>
      <c r="W70">
        <v>15207.47</v>
      </c>
      <c r="X70">
        <v>3980.01</v>
      </c>
      <c r="Y70" t="s">
        <v>83</v>
      </c>
      <c r="Z70">
        <v>11247.66</v>
      </c>
      <c r="AA70">
        <v>2902.7999999999997</v>
      </c>
    </row>
    <row r="71" spans="1:27" x14ac:dyDescent="0.3">
      <c r="A71" t="s">
        <v>296</v>
      </c>
      <c r="B71" s="1">
        <v>45181</v>
      </c>
      <c r="C71" t="s">
        <v>243</v>
      </c>
      <c r="D71" t="s">
        <v>287</v>
      </c>
      <c r="E71">
        <v>3</v>
      </c>
      <c r="F71" t="s">
        <v>28</v>
      </c>
      <c r="G71">
        <v>12</v>
      </c>
      <c r="H71" t="s">
        <v>244</v>
      </c>
      <c r="I71" t="s">
        <v>30</v>
      </c>
      <c r="J71">
        <v>35</v>
      </c>
      <c r="K71" t="s">
        <v>31</v>
      </c>
      <c r="L71" t="s">
        <v>43</v>
      </c>
      <c r="M71" s="1">
        <v>45259</v>
      </c>
      <c r="N71" t="s">
        <v>44</v>
      </c>
      <c r="O71" t="s">
        <v>288</v>
      </c>
      <c r="P71" t="s">
        <v>68</v>
      </c>
      <c r="Q71" t="s">
        <v>46</v>
      </c>
      <c r="R71">
        <v>2345.7800000000002</v>
      </c>
      <c r="S71">
        <v>2891.96</v>
      </c>
      <c r="T71">
        <v>122</v>
      </c>
      <c r="U71">
        <v>1115.01</v>
      </c>
      <c r="V71">
        <v>99.23</v>
      </c>
      <c r="W71">
        <v>1015.78</v>
      </c>
      <c r="X71">
        <v>4754.3500000000004</v>
      </c>
      <c r="Y71" t="s">
        <v>83</v>
      </c>
      <c r="Z71">
        <v>8675.880000000001</v>
      </c>
      <c r="AA71">
        <v>1638.5399999999995</v>
      </c>
    </row>
    <row r="72" spans="1:27" x14ac:dyDescent="0.3">
      <c r="A72" t="s">
        <v>297</v>
      </c>
      <c r="B72" s="1">
        <v>45281</v>
      </c>
      <c r="C72" t="s">
        <v>298</v>
      </c>
      <c r="D72" t="s">
        <v>117</v>
      </c>
      <c r="E72">
        <v>2</v>
      </c>
      <c r="F72" t="s">
        <v>90</v>
      </c>
      <c r="G72">
        <v>19</v>
      </c>
      <c r="H72" t="s">
        <v>299</v>
      </c>
      <c r="I72" t="s">
        <v>30</v>
      </c>
      <c r="J72">
        <v>60</v>
      </c>
      <c r="K72" t="s">
        <v>60</v>
      </c>
      <c r="L72" t="s">
        <v>53</v>
      </c>
      <c r="M72" s="1">
        <v>45201</v>
      </c>
      <c r="N72" t="s">
        <v>44</v>
      </c>
      <c r="O72" t="s">
        <v>119</v>
      </c>
      <c r="P72" t="s">
        <v>110</v>
      </c>
      <c r="Q72" t="s">
        <v>120</v>
      </c>
      <c r="R72">
        <v>1390.81</v>
      </c>
      <c r="S72">
        <v>1874.61</v>
      </c>
      <c r="T72">
        <v>262</v>
      </c>
      <c r="U72">
        <v>13185.45</v>
      </c>
      <c r="V72">
        <v>1612.9</v>
      </c>
      <c r="W72">
        <v>11572.55</v>
      </c>
      <c r="X72">
        <v>4343.01</v>
      </c>
      <c r="Y72" t="s">
        <v>83</v>
      </c>
      <c r="Z72">
        <v>3749.22</v>
      </c>
      <c r="AA72">
        <v>967.59999999999991</v>
      </c>
    </row>
    <row r="73" spans="1:27" x14ac:dyDescent="0.3">
      <c r="A73" t="s">
        <v>300</v>
      </c>
      <c r="B73" s="1">
        <v>45127</v>
      </c>
      <c r="C73" t="s">
        <v>301</v>
      </c>
      <c r="D73" t="s">
        <v>302</v>
      </c>
      <c r="E73">
        <v>1</v>
      </c>
      <c r="F73" t="s">
        <v>90</v>
      </c>
      <c r="G73">
        <v>14</v>
      </c>
      <c r="H73" t="s">
        <v>303</v>
      </c>
      <c r="I73" t="s">
        <v>80</v>
      </c>
      <c r="J73">
        <v>32</v>
      </c>
      <c r="K73" t="s">
        <v>92</v>
      </c>
      <c r="L73" t="s">
        <v>53</v>
      </c>
      <c r="M73" s="1">
        <v>44791</v>
      </c>
      <c r="N73" t="s">
        <v>54</v>
      </c>
      <c r="O73" t="s">
        <v>304</v>
      </c>
      <c r="P73" t="s">
        <v>68</v>
      </c>
      <c r="Q73" t="s">
        <v>120</v>
      </c>
      <c r="R73">
        <v>1858.72</v>
      </c>
      <c r="S73">
        <v>2175.88</v>
      </c>
      <c r="T73">
        <v>272</v>
      </c>
      <c r="U73">
        <v>16132.28</v>
      </c>
      <c r="V73">
        <v>2921.22</v>
      </c>
      <c r="W73">
        <v>13211.06</v>
      </c>
      <c r="X73">
        <v>1664.55</v>
      </c>
      <c r="Y73" t="s">
        <v>56</v>
      </c>
      <c r="Z73">
        <v>2175.88</v>
      </c>
      <c r="AA73">
        <v>317.16000000000008</v>
      </c>
    </row>
    <row r="74" spans="1:27" x14ac:dyDescent="0.3">
      <c r="A74" t="s">
        <v>305</v>
      </c>
      <c r="B74" s="1">
        <v>44970</v>
      </c>
      <c r="C74" t="s">
        <v>306</v>
      </c>
      <c r="D74" t="s">
        <v>190</v>
      </c>
      <c r="E74">
        <v>2</v>
      </c>
      <c r="F74" t="s">
        <v>28</v>
      </c>
      <c r="G74">
        <v>25</v>
      </c>
      <c r="H74" t="s">
        <v>307</v>
      </c>
      <c r="I74" t="s">
        <v>30</v>
      </c>
      <c r="J74">
        <v>23</v>
      </c>
      <c r="K74" t="s">
        <v>42</v>
      </c>
      <c r="L74" t="s">
        <v>32</v>
      </c>
      <c r="M74" s="1">
        <v>45214</v>
      </c>
      <c r="N74" t="s">
        <v>54</v>
      </c>
      <c r="O74" t="s">
        <v>191</v>
      </c>
      <c r="P74" t="s">
        <v>68</v>
      </c>
      <c r="Q74" t="s">
        <v>120</v>
      </c>
      <c r="R74">
        <v>2412.25</v>
      </c>
      <c r="S74">
        <v>3672.51</v>
      </c>
      <c r="T74">
        <v>100</v>
      </c>
      <c r="U74">
        <v>2332.34</v>
      </c>
      <c r="V74">
        <v>190.43</v>
      </c>
      <c r="W74">
        <v>2141.91</v>
      </c>
      <c r="X74">
        <v>2117.94</v>
      </c>
      <c r="Y74" t="s">
        <v>83</v>
      </c>
      <c r="Z74">
        <v>7345.02</v>
      </c>
      <c r="AA74">
        <v>2520.5200000000004</v>
      </c>
    </row>
    <row r="75" spans="1:27" x14ac:dyDescent="0.3">
      <c r="A75" t="s">
        <v>308</v>
      </c>
      <c r="B75" s="1">
        <v>45003</v>
      </c>
      <c r="C75" t="s">
        <v>309</v>
      </c>
      <c r="D75" t="s">
        <v>287</v>
      </c>
      <c r="E75">
        <v>4</v>
      </c>
      <c r="F75" t="s">
        <v>78</v>
      </c>
      <c r="G75">
        <v>21</v>
      </c>
      <c r="H75" t="s">
        <v>310</v>
      </c>
      <c r="I75" t="s">
        <v>80</v>
      </c>
      <c r="J75">
        <v>37</v>
      </c>
      <c r="K75" t="s">
        <v>60</v>
      </c>
      <c r="L75" t="s">
        <v>53</v>
      </c>
      <c r="M75" s="1">
        <v>45270</v>
      </c>
      <c r="N75" t="s">
        <v>44</v>
      </c>
      <c r="O75" t="s">
        <v>288</v>
      </c>
      <c r="P75" t="s">
        <v>68</v>
      </c>
      <c r="Q75" t="s">
        <v>46</v>
      </c>
      <c r="R75">
        <v>2345.7800000000002</v>
      </c>
      <c r="S75">
        <v>2891.96</v>
      </c>
      <c r="T75">
        <v>122</v>
      </c>
      <c r="U75">
        <v>7405.57</v>
      </c>
      <c r="V75">
        <v>1211.6400000000001</v>
      </c>
      <c r="W75">
        <v>6193.93</v>
      </c>
      <c r="X75">
        <v>2788.94</v>
      </c>
      <c r="Y75" t="s">
        <v>83</v>
      </c>
      <c r="Z75">
        <v>11567.84</v>
      </c>
      <c r="AA75">
        <v>2184.7199999999993</v>
      </c>
    </row>
    <row r="76" spans="1:27" x14ac:dyDescent="0.3">
      <c r="A76" t="s">
        <v>311</v>
      </c>
      <c r="B76" s="1">
        <v>45151</v>
      </c>
      <c r="C76" t="s">
        <v>312</v>
      </c>
      <c r="D76" t="s">
        <v>287</v>
      </c>
      <c r="E76">
        <v>4</v>
      </c>
      <c r="F76" t="s">
        <v>51</v>
      </c>
      <c r="G76">
        <v>18</v>
      </c>
      <c r="H76" t="s">
        <v>313</v>
      </c>
      <c r="I76" t="s">
        <v>30</v>
      </c>
      <c r="J76">
        <v>29</v>
      </c>
      <c r="K76" t="s">
        <v>155</v>
      </c>
      <c r="L76" t="s">
        <v>53</v>
      </c>
      <c r="M76" s="1">
        <v>44876</v>
      </c>
      <c r="N76" t="s">
        <v>33</v>
      </c>
      <c r="O76" t="s">
        <v>288</v>
      </c>
      <c r="P76" t="s">
        <v>68</v>
      </c>
      <c r="Q76" t="s">
        <v>46</v>
      </c>
      <c r="R76">
        <v>2345.7800000000002</v>
      </c>
      <c r="S76">
        <v>2891.96</v>
      </c>
      <c r="T76">
        <v>122</v>
      </c>
      <c r="U76">
        <v>15658.65</v>
      </c>
      <c r="V76">
        <v>134.18</v>
      </c>
      <c r="W76">
        <v>15524.47</v>
      </c>
      <c r="X76">
        <v>198.28</v>
      </c>
      <c r="Y76" t="s">
        <v>47</v>
      </c>
      <c r="Z76">
        <v>11567.84</v>
      </c>
      <c r="AA76">
        <v>2184.7199999999993</v>
      </c>
    </row>
    <row r="77" spans="1:27" x14ac:dyDescent="0.3">
      <c r="A77" t="s">
        <v>314</v>
      </c>
      <c r="B77" s="1">
        <v>45137</v>
      </c>
      <c r="C77" t="s">
        <v>196</v>
      </c>
      <c r="D77" t="s">
        <v>315</v>
      </c>
      <c r="E77">
        <v>1</v>
      </c>
      <c r="F77" t="s">
        <v>90</v>
      </c>
      <c r="G77">
        <v>15</v>
      </c>
      <c r="H77" t="s">
        <v>198</v>
      </c>
      <c r="I77" t="s">
        <v>30</v>
      </c>
      <c r="J77">
        <v>37</v>
      </c>
      <c r="K77" t="s">
        <v>65</v>
      </c>
      <c r="L77" t="s">
        <v>53</v>
      </c>
      <c r="M77" s="1">
        <v>45436</v>
      </c>
      <c r="N77" t="s">
        <v>33</v>
      </c>
      <c r="O77" t="s">
        <v>316</v>
      </c>
      <c r="P77" t="s">
        <v>110</v>
      </c>
      <c r="Q77" t="s">
        <v>120</v>
      </c>
      <c r="R77">
        <v>2359.8000000000002</v>
      </c>
      <c r="S77">
        <v>2910.71</v>
      </c>
      <c r="T77">
        <v>211</v>
      </c>
      <c r="U77">
        <v>4584.2700000000004</v>
      </c>
      <c r="V77">
        <v>1060.79</v>
      </c>
      <c r="W77">
        <v>3523.48</v>
      </c>
      <c r="X77">
        <v>4283.1000000000004</v>
      </c>
      <c r="Y77" t="s">
        <v>47</v>
      </c>
      <c r="Z77">
        <v>2910.71</v>
      </c>
      <c r="AA77">
        <v>550.90999999999985</v>
      </c>
    </row>
    <row r="78" spans="1:27" x14ac:dyDescent="0.3">
      <c r="A78" t="s">
        <v>317</v>
      </c>
      <c r="B78" s="1">
        <v>45230</v>
      </c>
      <c r="C78" t="s">
        <v>318</v>
      </c>
      <c r="D78" t="s">
        <v>197</v>
      </c>
      <c r="E78">
        <v>5</v>
      </c>
      <c r="F78" t="s">
        <v>28</v>
      </c>
      <c r="G78">
        <v>16</v>
      </c>
      <c r="H78" t="s">
        <v>319</v>
      </c>
      <c r="I78" t="s">
        <v>30</v>
      </c>
      <c r="J78">
        <v>41</v>
      </c>
      <c r="K78" t="s">
        <v>53</v>
      </c>
      <c r="L78" t="s">
        <v>81</v>
      </c>
      <c r="M78" s="1">
        <v>45379</v>
      </c>
      <c r="N78" t="s">
        <v>44</v>
      </c>
      <c r="O78" t="s">
        <v>199</v>
      </c>
      <c r="P78" t="s">
        <v>35</v>
      </c>
      <c r="Q78" t="s">
        <v>46</v>
      </c>
      <c r="R78">
        <v>1612.7</v>
      </c>
      <c r="S78">
        <v>1932.63</v>
      </c>
      <c r="T78">
        <v>278</v>
      </c>
      <c r="U78">
        <v>9580.7099999999991</v>
      </c>
      <c r="V78">
        <v>1948.82</v>
      </c>
      <c r="W78">
        <v>7631.89</v>
      </c>
      <c r="X78">
        <v>4877.58</v>
      </c>
      <c r="Y78" t="s">
        <v>37</v>
      </c>
      <c r="Z78">
        <v>9663.1500000000015</v>
      </c>
      <c r="AA78">
        <v>1599.6500000000003</v>
      </c>
    </row>
    <row r="79" spans="1:27" x14ac:dyDescent="0.3">
      <c r="A79" t="s">
        <v>320</v>
      </c>
      <c r="B79" s="1">
        <v>45170</v>
      </c>
      <c r="C79" t="s">
        <v>321</v>
      </c>
      <c r="D79" t="s">
        <v>322</v>
      </c>
      <c r="E79">
        <v>5</v>
      </c>
      <c r="F79" t="s">
        <v>90</v>
      </c>
      <c r="G79">
        <v>20</v>
      </c>
      <c r="H79" t="s">
        <v>323</v>
      </c>
      <c r="I79" t="s">
        <v>80</v>
      </c>
      <c r="J79">
        <v>33</v>
      </c>
      <c r="K79" t="s">
        <v>92</v>
      </c>
      <c r="L79" t="s">
        <v>32</v>
      </c>
      <c r="M79" s="1">
        <v>44850</v>
      </c>
      <c r="N79" t="s">
        <v>33</v>
      </c>
      <c r="O79" t="s">
        <v>324</v>
      </c>
      <c r="P79" t="s">
        <v>35</v>
      </c>
      <c r="Q79" t="s">
        <v>111</v>
      </c>
      <c r="R79">
        <v>3696.72</v>
      </c>
      <c r="S79">
        <v>4397.13</v>
      </c>
      <c r="T79">
        <v>92</v>
      </c>
      <c r="U79">
        <v>764.71</v>
      </c>
      <c r="V79">
        <v>37.590000000000003</v>
      </c>
      <c r="W79">
        <v>727.12</v>
      </c>
      <c r="X79">
        <v>4801.2700000000004</v>
      </c>
      <c r="Y79" t="s">
        <v>47</v>
      </c>
      <c r="Z79">
        <v>21985.65</v>
      </c>
      <c r="AA79">
        <v>3502.0500000000015</v>
      </c>
    </row>
    <row r="80" spans="1:27" x14ac:dyDescent="0.3">
      <c r="A80" t="s">
        <v>325</v>
      </c>
      <c r="B80" s="1">
        <v>45075</v>
      </c>
      <c r="C80" t="s">
        <v>326</v>
      </c>
      <c r="D80" t="s">
        <v>27</v>
      </c>
      <c r="E80">
        <v>2</v>
      </c>
      <c r="F80" t="s">
        <v>90</v>
      </c>
      <c r="G80">
        <v>22</v>
      </c>
      <c r="H80" t="s">
        <v>327</v>
      </c>
      <c r="I80" t="s">
        <v>80</v>
      </c>
      <c r="J80">
        <v>56</v>
      </c>
      <c r="K80" t="s">
        <v>42</v>
      </c>
      <c r="L80" t="s">
        <v>53</v>
      </c>
      <c r="M80" s="1">
        <v>45103</v>
      </c>
      <c r="N80" t="s">
        <v>54</v>
      </c>
      <c r="O80" t="s">
        <v>34</v>
      </c>
      <c r="P80" t="s">
        <v>35</v>
      </c>
      <c r="Q80" t="s">
        <v>36</v>
      </c>
      <c r="R80">
        <v>4318.8599999999997</v>
      </c>
      <c r="S80">
        <v>4880.6400000000003</v>
      </c>
      <c r="T80">
        <v>149</v>
      </c>
      <c r="U80">
        <v>10082.42</v>
      </c>
      <c r="V80">
        <v>870.58</v>
      </c>
      <c r="W80">
        <v>9211.84</v>
      </c>
      <c r="X80">
        <v>4021.57</v>
      </c>
      <c r="Y80" t="s">
        <v>37</v>
      </c>
      <c r="Z80">
        <v>9761.2800000000007</v>
      </c>
      <c r="AA80">
        <v>1123.5600000000013</v>
      </c>
    </row>
    <row r="81" spans="1:27" x14ac:dyDescent="0.3">
      <c r="A81" t="s">
        <v>328</v>
      </c>
      <c r="B81" s="1">
        <v>45228</v>
      </c>
      <c r="C81" t="s">
        <v>149</v>
      </c>
      <c r="D81" t="s">
        <v>329</v>
      </c>
      <c r="E81">
        <v>5</v>
      </c>
      <c r="F81" t="s">
        <v>28</v>
      </c>
      <c r="G81">
        <v>13</v>
      </c>
      <c r="H81" t="s">
        <v>150</v>
      </c>
      <c r="I81" t="s">
        <v>30</v>
      </c>
      <c r="J81">
        <v>44</v>
      </c>
      <c r="K81" t="s">
        <v>73</v>
      </c>
      <c r="L81" t="s">
        <v>81</v>
      </c>
      <c r="M81" s="1">
        <v>44918</v>
      </c>
      <c r="N81" t="s">
        <v>33</v>
      </c>
      <c r="O81" t="s">
        <v>330</v>
      </c>
      <c r="P81" t="s">
        <v>94</v>
      </c>
      <c r="Q81" t="s">
        <v>46</v>
      </c>
      <c r="R81">
        <v>3358.26</v>
      </c>
      <c r="S81">
        <v>4345.1099999999997</v>
      </c>
      <c r="T81">
        <v>179</v>
      </c>
      <c r="U81">
        <v>11558.45</v>
      </c>
      <c r="V81">
        <v>9.1999999999999993</v>
      </c>
      <c r="W81">
        <v>11549.25</v>
      </c>
      <c r="X81">
        <v>3377.69</v>
      </c>
      <c r="Y81" t="s">
        <v>83</v>
      </c>
      <c r="Z81">
        <v>21725.55</v>
      </c>
      <c r="AA81">
        <v>4934.2499999999973</v>
      </c>
    </row>
    <row r="82" spans="1:27" x14ac:dyDescent="0.3">
      <c r="A82" t="s">
        <v>331</v>
      </c>
      <c r="B82" s="1">
        <v>45256</v>
      </c>
      <c r="C82" t="s">
        <v>332</v>
      </c>
      <c r="D82" t="s">
        <v>236</v>
      </c>
      <c r="E82">
        <v>2</v>
      </c>
      <c r="F82" t="s">
        <v>51</v>
      </c>
      <c r="G82">
        <v>13</v>
      </c>
      <c r="H82" t="s">
        <v>333</v>
      </c>
      <c r="I82" t="s">
        <v>30</v>
      </c>
      <c r="J82">
        <v>20</v>
      </c>
      <c r="K82" t="s">
        <v>92</v>
      </c>
      <c r="L82" t="s">
        <v>32</v>
      </c>
      <c r="M82" s="1">
        <v>44792</v>
      </c>
      <c r="N82" t="s">
        <v>54</v>
      </c>
      <c r="O82" t="s">
        <v>238</v>
      </c>
      <c r="P82" t="s">
        <v>68</v>
      </c>
      <c r="Q82" t="s">
        <v>120</v>
      </c>
      <c r="R82">
        <v>3957.37</v>
      </c>
      <c r="S82">
        <v>5045.3500000000004</v>
      </c>
      <c r="T82">
        <v>227</v>
      </c>
      <c r="U82">
        <v>10016.67</v>
      </c>
      <c r="V82">
        <v>1852.63</v>
      </c>
      <c r="W82">
        <v>8164.04</v>
      </c>
      <c r="X82">
        <v>4011.79</v>
      </c>
      <c r="Y82" t="s">
        <v>37</v>
      </c>
      <c r="Z82">
        <v>10090.700000000001</v>
      </c>
      <c r="AA82">
        <v>2175.9600000000009</v>
      </c>
    </row>
    <row r="83" spans="1:27" x14ac:dyDescent="0.3">
      <c r="A83" t="s">
        <v>334</v>
      </c>
      <c r="B83" s="1">
        <v>45120</v>
      </c>
      <c r="C83" t="s">
        <v>149</v>
      </c>
      <c r="D83" t="s">
        <v>335</v>
      </c>
      <c r="E83">
        <v>2</v>
      </c>
      <c r="F83" t="s">
        <v>51</v>
      </c>
      <c r="G83">
        <v>20</v>
      </c>
      <c r="H83" t="s">
        <v>150</v>
      </c>
      <c r="I83" t="s">
        <v>30</v>
      </c>
      <c r="J83">
        <v>44</v>
      </c>
      <c r="K83" t="s">
        <v>73</v>
      </c>
      <c r="L83" t="s">
        <v>81</v>
      </c>
      <c r="M83" s="1">
        <v>44918</v>
      </c>
      <c r="N83" t="s">
        <v>33</v>
      </c>
      <c r="O83" t="s">
        <v>336</v>
      </c>
      <c r="P83" t="s">
        <v>68</v>
      </c>
      <c r="Q83" t="s">
        <v>36</v>
      </c>
      <c r="R83">
        <v>4727.87</v>
      </c>
      <c r="S83">
        <v>6561</v>
      </c>
      <c r="T83">
        <v>290</v>
      </c>
      <c r="U83">
        <v>3160.94</v>
      </c>
      <c r="V83">
        <v>456.28</v>
      </c>
      <c r="W83">
        <v>2704.66</v>
      </c>
      <c r="X83">
        <v>2897.16</v>
      </c>
      <c r="Y83" t="s">
        <v>37</v>
      </c>
      <c r="Z83">
        <v>13122</v>
      </c>
      <c r="AA83">
        <v>3666.26</v>
      </c>
    </row>
    <row r="84" spans="1:27" x14ac:dyDescent="0.3">
      <c r="A84" t="s">
        <v>337</v>
      </c>
      <c r="B84" s="1">
        <v>45233</v>
      </c>
      <c r="C84" t="s">
        <v>338</v>
      </c>
      <c r="D84" t="s">
        <v>77</v>
      </c>
      <c r="E84">
        <v>2</v>
      </c>
      <c r="F84" t="s">
        <v>51</v>
      </c>
      <c r="G84">
        <v>7</v>
      </c>
      <c r="H84" t="s">
        <v>339</v>
      </c>
      <c r="I84" t="s">
        <v>80</v>
      </c>
      <c r="J84">
        <v>23</v>
      </c>
      <c r="K84" t="s">
        <v>60</v>
      </c>
      <c r="L84" t="s">
        <v>43</v>
      </c>
      <c r="M84" s="1">
        <v>45385</v>
      </c>
      <c r="N84" t="s">
        <v>44</v>
      </c>
      <c r="O84" t="s">
        <v>82</v>
      </c>
      <c r="P84" t="s">
        <v>35</v>
      </c>
      <c r="Q84" t="s">
        <v>46</v>
      </c>
      <c r="R84">
        <v>1607.82</v>
      </c>
      <c r="S84">
        <v>2197.14</v>
      </c>
      <c r="T84">
        <v>27</v>
      </c>
      <c r="U84">
        <v>11371.09</v>
      </c>
      <c r="V84">
        <v>2120.6999999999998</v>
      </c>
      <c r="W84">
        <v>9250.39</v>
      </c>
      <c r="X84">
        <v>2886.72</v>
      </c>
      <c r="Y84" t="s">
        <v>83</v>
      </c>
      <c r="Z84">
        <v>4394.28</v>
      </c>
      <c r="AA84">
        <v>1178.6399999999999</v>
      </c>
    </row>
    <row r="85" spans="1:27" x14ac:dyDescent="0.3">
      <c r="A85" t="s">
        <v>340</v>
      </c>
      <c r="B85" s="1">
        <v>45038</v>
      </c>
      <c r="C85" t="s">
        <v>341</v>
      </c>
      <c r="D85" t="s">
        <v>342</v>
      </c>
      <c r="E85">
        <v>6</v>
      </c>
      <c r="F85" t="s">
        <v>28</v>
      </c>
      <c r="G85">
        <v>10</v>
      </c>
      <c r="H85" t="s">
        <v>343</v>
      </c>
      <c r="I85" t="s">
        <v>80</v>
      </c>
      <c r="J85">
        <v>53</v>
      </c>
      <c r="K85" t="s">
        <v>53</v>
      </c>
      <c r="L85" t="s">
        <v>32</v>
      </c>
      <c r="M85" s="1">
        <v>45386</v>
      </c>
      <c r="N85" t="s">
        <v>44</v>
      </c>
      <c r="O85" t="s">
        <v>344</v>
      </c>
      <c r="P85" t="s">
        <v>35</v>
      </c>
      <c r="Q85" t="s">
        <v>120</v>
      </c>
      <c r="R85">
        <v>1830.22</v>
      </c>
      <c r="S85">
        <v>2820.9</v>
      </c>
      <c r="T85">
        <v>11</v>
      </c>
      <c r="U85">
        <v>19784.29</v>
      </c>
      <c r="V85">
        <v>1269.6500000000001</v>
      </c>
      <c r="W85">
        <v>18514.64</v>
      </c>
      <c r="X85">
        <v>538.04999999999995</v>
      </c>
      <c r="Y85" t="s">
        <v>47</v>
      </c>
      <c r="Z85">
        <v>16925.400000000001</v>
      </c>
      <c r="AA85">
        <v>5944.08</v>
      </c>
    </row>
    <row r="86" spans="1:27" x14ac:dyDescent="0.3">
      <c r="A86" t="s">
        <v>345</v>
      </c>
      <c r="B86" s="1">
        <v>45152</v>
      </c>
      <c r="C86" t="s">
        <v>346</v>
      </c>
      <c r="D86" t="s">
        <v>98</v>
      </c>
      <c r="E86">
        <v>6</v>
      </c>
      <c r="F86" t="s">
        <v>28</v>
      </c>
      <c r="G86">
        <v>5</v>
      </c>
      <c r="H86" t="s">
        <v>347</v>
      </c>
      <c r="I86" t="s">
        <v>30</v>
      </c>
      <c r="J86">
        <v>23</v>
      </c>
      <c r="K86" t="s">
        <v>92</v>
      </c>
      <c r="L86" t="s">
        <v>81</v>
      </c>
      <c r="M86" s="1">
        <v>45595</v>
      </c>
      <c r="N86" t="s">
        <v>33</v>
      </c>
      <c r="O86" t="s">
        <v>100</v>
      </c>
      <c r="P86" t="s">
        <v>94</v>
      </c>
      <c r="Q86" t="s">
        <v>36</v>
      </c>
      <c r="R86">
        <v>4225.4799999999996</v>
      </c>
      <c r="S86">
        <v>6100.15</v>
      </c>
      <c r="T86">
        <v>279</v>
      </c>
      <c r="U86">
        <v>4057.22</v>
      </c>
      <c r="V86">
        <v>473.78</v>
      </c>
      <c r="W86">
        <v>3583.44</v>
      </c>
      <c r="X86">
        <v>281.07</v>
      </c>
      <c r="Y86" t="s">
        <v>47</v>
      </c>
      <c r="Z86">
        <v>36600.899999999994</v>
      </c>
      <c r="AA86">
        <v>11248.02</v>
      </c>
    </row>
    <row r="87" spans="1:27" x14ac:dyDescent="0.3">
      <c r="A87" t="s">
        <v>348</v>
      </c>
      <c r="B87" s="1">
        <v>45280</v>
      </c>
      <c r="C87" t="s">
        <v>152</v>
      </c>
      <c r="D87" t="s">
        <v>349</v>
      </c>
      <c r="E87">
        <v>5</v>
      </c>
      <c r="F87" t="s">
        <v>51</v>
      </c>
      <c r="G87">
        <v>15</v>
      </c>
      <c r="H87" t="s">
        <v>154</v>
      </c>
      <c r="I87" t="s">
        <v>80</v>
      </c>
      <c r="J87">
        <v>36</v>
      </c>
      <c r="K87" t="s">
        <v>155</v>
      </c>
      <c r="L87" t="s">
        <v>81</v>
      </c>
      <c r="M87" s="1">
        <v>45103</v>
      </c>
      <c r="N87" t="s">
        <v>33</v>
      </c>
      <c r="O87" t="s">
        <v>350</v>
      </c>
      <c r="P87" t="s">
        <v>35</v>
      </c>
      <c r="Q87" t="s">
        <v>120</v>
      </c>
      <c r="R87">
        <v>2100.67</v>
      </c>
      <c r="S87">
        <v>3046.71</v>
      </c>
      <c r="T87">
        <v>206</v>
      </c>
      <c r="U87">
        <v>9079.64</v>
      </c>
      <c r="V87">
        <v>779.99</v>
      </c>
      <c r="W87">
        <v>8299.65</v>
      </c>
      <c r="X87">
        <v>3540.02</v>
      </c>
      <c r="Y87" t="s">
        <v>56</v>
      </c>
      <c r="Z87">
        <v>15233.55</v>
      </c>
      <c r="AA87">
        <v>4730.2</v>
      </c>
    </row>
    <row r="88" spans="1:27" x14ac:dyDescent="0.3">
      <c r="A88" t="s">
        <v>351</v>
      </c>
      <c r="B88" s="1">
        <v>45168</v>
      </c>
      <c r="C88" t="s">
        <v>182</v>
      </c>
      <c r="D88" t="s">
        <v>349</v>
      </c>
      <c r="E88">
        <v>3</v>
      </c>
      <c r="F88" t="s">
        <v>90</v>
      </c>
      <c r="G88">
        <v>3</v>
      </c>
      <c r="H88" t="s">
        <v>184</v>
      </c>
      <c r="I88" t="s">
        <v>80</v>
      </c>
      <c r="J88">
        <v>40</v>
      </c>
      <c r="K88" t="s">
        <v>65</v>
      </c>
      <c r="L88" t="s">
        <v>43</v>
      </c>
      <c r="M88" s="1">
        <v>44995</v>
      </c>
      <c r="N88" t="s">
        <v>33</v>
      </c>
      <c r="O88" t="s">
        <v>350</v>
      </c>
      <c r="P88" t="s">
        <v>35</v>
      </c>
      <c r="Q88" t="s">
        <v>120</v>
      </c>
      <c r="R88">
        <v>2100.67</v>
      </c>
      <c r="S88">
        <v>3046.71</v>
      </c>
      <c r="T88">
        <v>206</v>
      </c>
      <c r="U88">
        <v>6943.77</v>
      </c>
      <c r="V88">
        <v>1400.42</v>
      </c>
      <c r="W88">
        <v>5543.35</v>
      </c>
      <c r="X88">
        <v>1200.7</v>
      </c>
      <c r="Y88" t="s">
        <v>47</v>
      </c>
      <c r="Z88">
        <v>9140.130000000001</v>
      </c>
      <c r="AA88">
        <v>2838.12</v>
      </c>
    </row>
    <row r="89" spans="1:27" x14ac:dyDescent="0.3">
      <c r="A89" t="s">
        <v>352</v>
      </c>
      <c r="B89" s="1">
        <v>45228</v>
      </c>
      <c r="C89" t="s">
        <v>353</v>
      </c>
      <c r="D89" t="s">
        <v>354</v>
      </c>
      <c r="E89">
        <v>1</v>
      </c>
      <c r="F89" t="s">
        <v>28</v>
      </c>
      <c r="G89">
        <v>4</v>
      </c>
      <c r="H89" t="s">
        <v>355</v>
      </c>
      <c r="I89" t="s">
        <v>80</v>
      </c>
      <c r="J89">
        <v>28</v>
      </c>
      <c r="K89" t="s">
        <v>42</v>
      </c>
      <c r="L89" t="s">
        <v>43</v>
      </c>
      <c r="M89" s="1">
        <v>44997</v>
      </c>
      <c r="N89" t="s">
        <v>33</v>
      </c>
      <c r="O89" t="s">
        <v>356</v>
      </c>
      <c r="P89" t="s">
        <v>68</v>
      </c>
      <c r="Q89" t="s">
        <v>120</v>
      </c>
      <c r="R89">
        <v>3959.29</v>
      </c>
      <c r="S89">
        <v>5340.73</v>
      </c>
      <c r="T89">
        <v>91</v>
      </c>
      <c r="U89">
        <v>3669.18</v>
      </c>
      <c r="V89">
        <v>404.38</v>
      </c>
      <c r="W89">
        <v>3264.8</v>
      </c>
      <c r="X89">
        <v>1355.84</v>
      </c>
      <c r="Y89" t="s">
        <v>56</v>
      </c>
      <c r="Z89">
        <v>5340.73</v>
      </c>
      <c r="AA89">
        <v>1381.4399999999996</v>
      </c>
    </row>
    <row r="90" spans="1:27" x14ac:dyDescent="0.3">
      <c r="A90" t="s">
        <v>357</v>
      </c>
      <c r="B90" s="1">
        <v>45218</v>
      </c>
      <c r="C90" t="s">
        <v>58</v>
      </c>
      <c r="D90" t="s">
        <v>207</v>
      </c>
      <c r="E90">
        <v>4</v>
      </c>
      <c r="F90" t="s">
        <v>28</v>
      </c>
      <c r="G90">
        <v>23</v>
      </c>
      <c r="H90" t="s">
        <v>59</v>
      </c>
      <c r="I90" t="s">
        <v>30</v>
      </c>
      <c r="J90">
        <v>25</v>
      </c>
      <c r="K90" t="s">
        <v>60</v>
      </c>
      <c r="L90" t="s">
        <v>53</v>
      </c>
      <c r="M90" s="1">
        <v>44898</v>
      </c>
      <c r="N90" t="s">
        <v>44</v>
      </c>
      <c r="O90" t="s">
        <v>209</v>
      </c>
      <c r="P90" t="s">
        <v>35</v>
      </c>
      <c r="Q90" t="s">
        <v>46</v>
      </c>
      <c r="R90">
        <v>4764.59</v>
      </c>
      <c r="S90">
        <v>5703.68</v>
      </c>
      <c r="T90">
        <v>87</v>
      </c>
      <c r="U90">
        <v>2874.86</v>
      </c>
      <c r="V90">
        <v>192.67</v>
      </c>
      <c r="W90">
        <v>2682.19</v>
      </c>
      <c r="X90">
        <v>1716.22</v>
      </c>
      <c r="Y90" t="s">
        <v>37</v>
      </c>
      <c r="Z90">
        <v>22814.720000000001</v>
      </c>
      <c r="AA90">
        <v>3756.3600000000006</v>
      </c>
    </row>
    <row r="91" spans="1:27" x14ac:dyDescent="0.3">
      <c r="A91" t="s">
        <v>358</v>
      </c>
      <c r="B91" s="1">
        <v>45255</v>
      </c>
      <c r="C91" t="s">
        <v>359</v>
      </c>
      <c r="D91" t="s">
        <v>259</v>
      </c>
      <c r="E91">
        <v>5</v>
      </c>
      <c r="F91" t="s">
        <v>28</v>
      </c>
      <c r="G91">
        <v>0</v>
      </c>
      <c r="H91" t="s">
        <v>360</v>
      </c>
      <c r="I91" t="s">
        <v>30</v>
      </c>
      <c r="J91">
        <v>24</v>
      </c>
      <c r="K91" t="s">
        <v>31</v>
      </c>
      <c r="L91" t="s">
        <v>81</v>
      </c>
      <c r="M91" s="1">
        <v>45026</v>
      </c>
      <c r="N91" t="s">
        <v>54</v>
      </c>
      <c r="O91" t="s">
        <v>261</v>
      </c>
      <c r="P91" t="s">
        <v>94</v>
      </c>
      <c r="Q91" t="s">
        <v>111</v>
      </c>
      <c r="R91">
        <v>4426.51</v>
      </c>
      <c r="S91">
        <v>5123.7299999999996</v>
      </c>
      <c r="T91">
        <v>298</v>
      </c>
      <c r="U91">
        <v>14847.44</v>
      </c>
      <c r="V91">
        <v>3307.71</v>
      </c>
      <c r="W91">
        <v>11539.73</v>
      </c>
      <c r="X91">
        <v>921.99</v>
      </c>
      <c r="Y91" t="s">
        <v>83</v>
      </c>
      <c r="Z91">
        <v>25618.649999999998</v>
      </c>
      <c r="AA91">
        <v>3486.0999999999967</v>
      </c>
    </row>
    <row r="92" spans="1:27" x14ac:dyDescent="0.3">
      <c r="A92" t="s">
        <v>361</v>
      </c>
      <c r="B92" s="1">
        <v>45080</v>
      </c>
      <c r="C92" t="s">
        <v>362</v>
      </c>
      <c r="D92" t="s">
        <v>354</v>
      </c>
      <c r="E92">
        <v>5</v>
      </c>
      <c r="F92" t="s">
        <v>78</v>
      </c>
      <c r="G92">
        <v>4</v>
      </c>
      <c r="H92" t="s">
        <v>363</v>
      </c>
      <c r="I92" t="s">
        <v>30</v>
      </c>
      <c r="J92">
        <v>37</v>
      </c>
      <c r="K92" t="s">
        <v>42</v>
      </c>
      <c r="L92" t="s">
        <v>81</v>
      </c>
      <c r="M92" s="1">
        <v>45596</v>
      </c>
      <c r="N92" t="s">
        <v>44</v>
      </c>
      <c r="O92" t="s">
        <v>356</v>
      </c>
      <c r="P92" t="s">
        <v>68</v>
      </c>
      <c r="Q92" t="s">
        <v>120</v>
      </c>
      <c r="R92">
        <v>3959.29</v>
      </c>
      <c r="S92">
        <v>5340.73</v>
      </c>
      <c r="T92">
        <v>91</v>
      </c>
      <c r="U92">
        <v>4356.9799999999996</v>
      </c>
      <c r="V92">
        <v>1081.6300000000001</v>
      </c>
      <c r="W92">
        <v>3275.35</v>
      </c>
      <c r="X92">
        <v>1381.94</v>
      </c>
      <c r="Y92" t="s">
        <v>37</v>
      </c>
      <c r="Z92">
        <v>26703.649999999998</v>
      </c>
      <c r="AA92">
        <v>6907.199999999998</v>
      </c>
    </row>
    <row r="93" spans="1:27" x14ac:dyDescent="0.3">
      <c r="A93" t="s">
        <v>364</v>
      </c>
      <c r="B93" s="1">
        <v>45004</v>
      </c>
      <c r="C93" t="s">
        <v>365</v>
      </c>
      <c r="D93" t="s">
        <v>259</v>
      </c>
      <c r="E93">
        <v>3</v>
      </c>
      <c r="F93" t="s">
        <v>78</v>
      </c>
      <c r="G93">
        <v>24</v>
      </c>
      <c r="H93" t="s">
        <v>366</v>
      </c>
      <c r="I93" t="s">
        <v>80</v>
      </c>
      <c r="J93">
        <v>50</v>
      </c>
      <c r="K93" t="s">
        <v>65</v>
      </c>
      <c r="L93" t="s">
        <v>66</v>
      </c>
      <c r="M93" s="1">
        <v>45739</v>
      </c>
      <c r="N93" t="s">
        <v>44</v>
      </c>
      <c r="O93" t="s">
        <v>261</v>
      </c>
      <c r="P93" t="s">
        <v>94</v>
      </c>
      <c r="Q93" t="s">
        <v>111</v>
      </c>
      <c r="R93">
        <v>4426.51</v>
      </c>
      <c r="S93">
        <v>5123.7299999999996</v>
      </c>
      <c r="T93">
        <v>298</v>
      </c>
      <c r="U93">
        <v>17995.93</v>
      </c>
      <c r="V93">
        <v>3920.9</v>
      </c>
      <c r="W93">
        <v>14075.03</v>
      </c>
      <c r="X93">
        <v>2285.09</v>
      </c>
      <c r="Y93" t="s">
        <v>56</v>
      </c>
      <c r="Z93">
        <v>15371.189999999999</v>
      </c>
      <c r="AA93">
        <v>2091.659999999998</v>
      </c>
    </row>
    <row r="94" spans="1:27" x14ac:dyDescent="0.3">
      <c r="A94" t="s">
        <v>367</v>
      </c>
      <c r="B94" s="1">
        <v>45060</v>
      </c>
      <c r="C94" t="s">
        <v>368</v>
      </c>
      <c r="D94" t="s">
        <v>259</v>
      </c>
      <c r="E94">
        <v>3</v>
      </c>
      <c r="F94" t="s">
        <v>28</v>
      </c>
      <c r="G94">
        <v>20</v>
      </c>
      <c r="H94" t="s">
        <v>369</v>
      </c>
      <c r="I94" t="s">
        <v>80</v>
      </c>
      <c r="J94">
        <v>30</v>
      </c>
      <c r="K94" t="s">
        <v>73</v>
      </c>
      <c r="L94" t="s">
        <v>108</v>
      </c>
      <c r="M94" s="1">
        <v>44835</v>
      </c>
      <c r="N94" t="s">
        <v>54</v>
      </c>
      <c r="O94" t="s">
        <v>261</v>
      </c>
      <c r="P94" t="s">
        <v>94</v>
      </c>
      <c r="Q94" t="s">
        <v>111</v>
      </c>
      <c r="R94">
        <v>4426.51</v>
      </c>
      <c r="S94">
        <v>5123.7299999999996</v>
      </c>
      <c r="T94">
        <v>298</v>
      </c>
      <c r="U94">
        <v>11523.62</v>
      </c>
      <c r="V94">
        <v>566.87</v>
      </c>
      <c r="W94">
        <v>10956.75</v>
      </c>
      <c r="X94">
        <v>2778.47</v>
      </c>
      <c r="Y94" t="s">
        <v>37</v>
      </c>
      <c r="Z94">
        <v>15371.189999999999</v>
      </c>
      <c r="AA94">
        <v>2091.659999999998</v>
      </c>
    </row>
    <row r="95" spans="1:27" x14ac:dyDescent="0.3">
      <c r="A95" t="s">
        <v>370</v>
      </c>
      <c r="B95" s="1">
        <v>44968</v>
      </c>
      <c r="C95" t="s">
        <v>371</v>
      </c>
      <c r="D95" t="s">
        <v>207</v>
      </c>
      <c r="E95">
        <v>3</v>
      </c>
      <c r="F95" t="s">
        <v>78</v>
      </c>
      <c r="G95">
        <v>13</v>
      </c>
      <c r="H95" t="s">
        <v>372</v>
      </c>
      <c r="I95" t="s">
        <v>30</v>
      </c>
      <c r="J95">
        <v>49</v>
      </c>
      <c r="K95" t="s">
        <v>53</v>
      </c>
      <c r="L95" t="s">
        <v>53</v>
      </c>
      <c r="M95" s="1">
        <v>45317</v>
      </c>
      <c r="N95" t="s">
        <v>44</v>
      </c>
      <c r="O95" t="s">
        <v>209</v>
      </c>
      <c r="P95" t="s">
        <v>35</v>
      </c>
      <c r="Q95" t="s">
        <v>46</v>
      </c>
      <c r="R95">
        <v>4764.59</v>
      </c>
      <c r="S95">
        <v>5703.68</v>
      </c>
      <c r="T95">
        <v>87</v>
      </c>
      <c r="U95">
        <v>1614.91</v>
      </c>
      <c r="V95">
        <v>204.76</v>
      </c>
      <c r="W95">
        <v>1410.15</v>
      </c>
      <c r="X95">
        <v>3597.91</v>
      </c>
      <c r="Y95" t="s">
        <v>83</v>
      </c>
      <c r="Z95">
        <v>17111.04</v>
      </c>
      <c r="AA95">
        <v>2817.2700000000004</v>
      </c>
    </row>
    <row r="96" spans="1:27" x14ac:dyDescent="0.3">
      <c r="A96" t="s">
        <v>373</v>
      </c>
      <c r="B96" s="1">
        <v>45040</v>
      </c>
      <c r="C96" t="s">
        <v>374</v>
      </c>
      <c r="D96" t="s">
        <v>375</v>
      </c>
      <c r="E96">
        <v>5</v>
      </c>
      <c r="F96" t="s">
        <v>28</v>
      </c>
      <c r="G96">
        <v>22</v>
      </c>
      <c r="H96" t="s">
        <v>376</v>
      </c>
      <c r="I96" t="s">
        <v>80</v>
      </c>
      <c r="J96">
        <v>24</v>
      </c>
      <c r="K96" t="s">
        <v>92</v>
      </c>
      <c r="L96" t="s">
        <v>43</v>
      </c>
      <c r="M96" s="1">
        <v>44931</v>
      </c>
      <c r="N96" t="s">
        <v>54</v>
      </c>
      <c r="O96" t="s">
        <v>377</v>
      </c>
      <c r="P96" t="s">
        <v>94</v>
      </c>
      <c r="Q96" t="s">
        <v>36</v>
      </c>
      <c r="R96">
        <v>2849.7</v>
      </c>
      <c r="S96">
        <v>3862</v>
      </c>
      <c r="T96">
        <v>78</v>
      </c>
      <c r="U96">
        <v>6616.38</v>
      </c>
      <c r="V96">
        <v>1459.53</v>
      </c>
      <c r="W96">
        <v>5156.8500000000004</v>
      </c>
      <c r="X96">
        <v>2821.3</v>
      </c>
      <c r="Y96" t="s">
        <v>37</v>
      </c>
      <c r="Z96">
        <v>19310</v>
      </c>
      <c r="AA96">
        <v>5061.5000000000009</v>
      </c>
    </row>
    <row r="97" spans="1:27" x14ac:dyDescent="0.3">
      <c r="A97" t="s">
        <v>378</v>
      </c>
      <c r="B97" s="1">
        <v>45284</v>
      </c>
      <c r="C97" t="s">
        <v>249</v>
      </c>
      <c r="D97" t="s">
        <v>354</v>
      </c>
      <c r="E97">
        <v>2</v>
      </c>
      <c r="F97" t="s">
        <v>90</v>
      </c>
      <c r="G97">
        <v>1</v>
      </c>
      <c r="H97" t="s">
        <v>250</v>
      </c>
      <c r="I97" t="s">
        <v>30</v>
      </c>
      <c r="J97">
        <v>53</v>
      </c>
      <c r="K97" t="s">
        <v>92</v>
      </c>
      <c r="L97" t="s">
        <v>81</v>
      </c>
      <c r="M97" s="1">
        <v>45745</v>
      </c>
      <c r="N97" t="s">
        <v>54</v>
      </c>
      <c r="O97" t="s">
        <v>356</v>
      </c>
      <c r="P97" t="s">
        <v>68</v>
      </c>
      <c r="Q97" t="s">
        <v>120</v>
      </c>
      <c r="R97">
        <v>3959.29</v>
      </c>
      <c r="S97">
        <v>5340.73</v>
      </c>
      <c r="T97">
        <v>91</v>
      </c>
      <c r="U97">
        <v>19901.16</v>
      </c>
      <c r="V97">
        <v>866.38</v>
      </c>
      <c r="W97">
        <v>19034.78</v>
      </c>
      <c r="X97">
        <v>2370.2399999999998</v>
      </c>
      <c r="Y97" t="s">
        <v>83</v>
      </c>
      <c r="Z97">
        <v>10681.46</v>
      </c>
      <c r="AA97">
        <v>2762.8799999999992</v>
      </c>
    </row>
    <row r="98" spans="1:27" x14ac:dyDescent="0.3">
      <c r="A98" t="s">
        <v>379</v>
      </c>
      <c r="B98" s="1">
        <v>45091</v>
      </c>
      <c r="C98" t="s">
        <v>380</v>
      </c>
      <c r="D98" t="s">
        <v>63</v>
      </c>
      <c r="E98">
        <v>6</v>
      </c>
      <c r="F98" t="s">
        <v>28</v>
      </c>
      <c r="G98">
        <v>15</v>
      </c>
      <c r="H98" t="s">
        <v>381</v>
      </c>
      <c r="I98" t="s">
        <v>30</v>
      </c>
      <c r="J98">
        <v>27</v>
      </c>
      <c r="K98" t="s">
        <v>155</v>
      </c>
      <c r="L98" t="s">
        <v>43</v>
      </c>
      <c r="M98" s="1">
        <v>45282</v>
      </c>
      <c r="N98" t="s">
        <v>54</v>
      </c>
      <c r="O98" t="s">
        <v>67</v>
      </c>
      <c r="P98" t="s">
        <v>68</v>
      </c>
      <c r="Q98" t="s">
        <v>46</v>
      </c>
      <c r="R98">
        <v>2961.83</v>
      </c>
      <c r="S98">
        <v>4189.8100000000004</v>
      </c>
      <c r="T98">
        <v>165</v>
      </c>
      <c r="U98">
        <v>14977.16</v>
      </c>
      <c r="V98">
        <v>528.36</v>
      </c>
      <c r="W98">
        <v>14448.8</v>
      </c>
      <c r="X98">
        <v>4753.22</v>
      </c>
      <c r="Y98" t="s">
        <v>83</v>
      </c>
      <c r="Z98">
        <v>25138.86</v>
      </c>
      <c r="AA98">
        <v>7367.8800000000028</v>
      </c>
    </row>
    <row r="99" spans="1:27" x14ac:dyDescent="0.3">
      <c r="A99" t="s">
        <v>382</v>
      </c>
      <c r="B99" s="1">
        <v>44989</v>
      </c>
      <c r="C99" t="s">
        <v>206</v>
      </c>
      <c r="D99" t="s">
        <v>102</v>
      </c>
      <c r="E99">
        <v>4</v>
      </c>
      <c r="F99" t="s">
        <v>28</v>
      </c>
      <c r="G99">
        <v>2</v>
      </c>
      <c r="H99" t="s">
        <v>208</v>
      </c>
      <c r="I99" t="s">
        <v>30</v>
      </c>
      <c r="J99">
        <v>23</v>
      </c>
      <c r="K99" t="s">
        <v>155</v>
      </c>
      <c r="L99" t="s">
        <v>108</v>
      </c>
      <c r="M99" s="1">
        <v>44688</v>
      </c>
      <c r="N99" t="s">
        <v>44</v>
      </c>
      <c r="O99" t="s">
        <v>103</v>
      </c>
      <c r="P99" t="s">
        <v>94</v>
      </c>
      <c r="Q99" t="s">
        <v>46</v>
      </c>
      <c r="R99">
        <v>4398.43</v>
      </c>
      <c r="S99">
        <v>6683.28</v>
      </c>
      <c r="T99">
        <v>152</v>
      </c>
      <c r="U99">
        <v>12240.43</v>
      </c>
      <c r="V99">
        <v>2810.07</v>
      </c>
      <c r="W99">
        <v>9430.36</v>
      </c>
      <c r="X99">
        <v>4032.92</v>
      </c>
      <c r="Y99" t="s">
        <v>47</v>
      </c>
      <c r="Z99">
        <v>26733.119999999999</v>
      </c>
      <c r="AA99">
        <v>9139.3999999999978</v>
      </c>
    </row>
    <row r="100" spans="1:27" x14ac:dyDescent="0.3">
      <c r="A100" t="s">
        <v>383</v>
      </c>
      <c r="B100" s="1">
        <v>45245</v>
      </c>
      <c r="C100" t="s">
        <v>384</v>
      </c>
      <c r="D100" t="s">
        <v>134</v>
      </c>
      <c r="E100">
        <v>4</v>
      </c>
      <c r="F100" t="s">
        <v>28</v>
      </c>
      <c r="G100">
        <v>10</v>
      </c>
      <c r="H100" t="s">
        <v>385</v>
      </c>
      <c r="I100" t="s">
        <v>30</v>
      </c>
      <c r="J100">
        <v>42</v>
      </c>
      <c r="K100" t="s">
        <v>53</v>
      </c>
      <c r="L100" t="s">
        <v>32</v>
      </c>
      <c r="M100" s="1">
        <v>44858</v>
      </c>
      <c r="N100" t="s">
        <v>44</v>
      </c>
      <c r="O100" t="s">
        <v>136</v>
      </c>
      <c r="P100" t="s">
        <v>68</v>
      </c>
      <c r="Q100" t="s">
        <v>46</v>
      </c>
      <c r="R100">
        <v>3023.88</v>
      </c>
      <c r="S100">
        <v>3903.42</v>
      </c>
      <c r="T100">
        <v>217</v>
      </c>
      <c r="U100">
        <v>1150.83</v>
      </c>
      <c r="V100">
        <v>14.33</v>
      </c>
      <c r="W100">
        <v>1136.5</v>
      </c>
      <c r="X100">
        <v>2619.3200000000002</v>
      </c>
      <c r="Y100" t="s">
        <v>47</v>
      </c>
      <c r="Z100">
        <v>15613.68</v>
      </c>
      <c r="AA100">
        <v>3518.16</v>
      </c>
    </row>
    <row r="101" spans="1:27" x14ac:dyDescent="0.3">
      <c r="A101" t="s">
        <v>386</v>
      </c>
      <c r="B101" s="1">
        <v>45204</v>
      </c>
      <c r="C101" t="s">
        <v>206</v>
      </c>
      <c r="D101" t="s">
        <v>122</v>
      </c>
      <c r="E101">
        <v>3</v>
      </c>
      <c r="F101" t="s">
        <v>51</v>
      </c>
      <c r="G101">
        <v>25</v>
      </c>
      <c r="H101" t="s">
        <v>208</v>
      </c>
      <c r="I101" t="s">
        <v>30</v>
      </c>
      <c r="J101">
        <v>23</v>
      </c>
      <c r="K101" t="s">
        <v>155</v>
      </c>
      <c r="L101" t="s">
        <v>108</v>
      </c>
      <c r="M101" s="1">
        <v>44688</v>
      </c>
      <c r="N101" t="s">
        <v>44</v>
      </c>
      <c r="O101" t="s">
        <v>123</v>
      </c>
      <c r="P101" t="s">
        <v>68</v>
      </c>
      <c r="Q101" t="s">
        <v>46</v>
      </c>
      <c r="R101">
        <v>1480.33</v>
      </c>
      <c r="S101">
        <v>1709.3</v>
      </c>
      <c r="T101">
        <v>229</v>
      </c>
      <c r="U101">
        <v>6127.21</v>
      </c>
      <c r="V101">
        <v>1351.29</v>
      </c>
      <c r="W101">
        <v>4775.92</v>
      </c>
      <c r="X101">
        <v>3852.27</v>
      </c>
      <c r="Y101" t="s">
        <v>56</v>
      </c>
      <c r="Z101">
        <v>5127.8999999999996</v>
      </c>
      <c r="AA101">
        <v>686.91000000000008</v>
      </c>
    </row>
    <row r="102" spans="1:27" x14ac:dyDescent="0.3">
      <c r="A102" t="s">
        <v>387</v>
      </c>
      <c r="B102" s="1">
        <v>45177</v>
      </c>
      <c r="C102" t="s">
        <v>318</v>
      </c>
      <c r="D102" t="s">
        <v>142</v>
      </c>
      <c r="E102">
        <v>5</v>
      </c>
      <c r="F102" t="s">
        <v>90</v>
      </c>
      <c r="G102">
        <v>9</v>
      </c>
      <c r="H102" t="s">
        <v>319</v>
      </c>
      <c r="I102" t="s">
        <v>30</v>
      </c>
      <c r="J102">
        <v>41</v>
      </c>
      <c r="K102" t="s">
        <v>53</v>
      </c>
      <c r="L102" t="s">
        <v>81</v>
      </c>
      <c r="M102" s="1">
        <v>45379</v>
      </c>
      <c r="N102" t="s">
        <v>44</v>
      </c>
      <c r="O102" t="s">
        <v>144</v>
      </c>
      <c r="P102" t="s">
        <v>68</v>
      </c>
      <c r="Q102" t="s">
        <v>46</v>
      </c>
      <c r="R102">
        <v>236.18</v>
      </c>
      <c r="S102">
        <v>290.54000000000002</v>
      </c>
      <c r="T102">
        <v>127</v>
      </c>
      <c r="U102">
        <v>1218.03</v>
      </c>
      <c r="V102">
        <v>12.53</v>
      </c>
      <c r="W102">
        <v>1205.5</v>
      </c>
      <c r="X102">
        <v>4412.33</v>
      </c>
      <c r="Y102" t="s">
        <v>56</v>
      </c>
      <c r="Z102">
        <v>1452.7</v>
      </c>
      <c r="AA102">
        <v>271.80000000000007</v>
      </c>
    </row>
    <row r="103" spans="1:27" x14ac:dyDescent="0.3">
      <c r="A103" t="s">
        <v>388</v>
      </c>
      <c r="B103" s="1">
        <v>44968</v>
      </c>
      <c r="C103" t="s">
        <v>389</v>
      </c>
      <c r="D103" t="s">
        <v>50</v>
      </c>
      <c r="E103">
        <v>1</v>
      </c>
      <c r="F103" t="s">
        <v>90</v>
      </c>
      <c r="G103">
        <v>24</v>
      </c>
      <c r="H103" t="s">
        <v>390</v>
      </c>
      <c r="I103" t="s">
        <v>80</v>
      </c>
      <c r="J103">
        <v>39</v>
      </c>
      <c r="K103" t="s">
        <v>65</v>
      </c>
      <c r="L103" t="s">
        <v>108</v>
      </c>
      <c r="M103" s="1">
        <v>44717</v>
      </c>
      <c r="N103" t="s">
        <v>44</v>
      </c>
      <c r="O103" t="s">
        <v>55</v>
      </c>
      <c r="P103" t="s">
        <v>35</v>
      </c>
      <c r="Q103" t="s">
        <v>46</v>
      </c>
      <c r="R103">
        <v>3612.18</v>
      </c>
      <c r="S103">
        <v>3996.91</v>
      </c>
      <c r="T103">
        <v>92</v>
      </c>
      <c r="U103">
        <v>3438.3</v>
      </c>
      <c r="V103">
        <v>556.70000000000005</v>
      </c>
      <c r="W103">
        <v>2881.6</v>
      </c>
      <c r="X103">
        <v>834.62</v>
      </c>
      <c r="Y103" t="s">
        <v>56</v>
      </c>
      <c r="Z103">
        <v>3996.91</v>
      </c>
      <c r="AA103">
        <v>384.73</v>
      </c>
    </row>
    <row r="104" spans="1:27" x14ac:dyDescent="0.3">
      <c r="A104" t="s">
        <v>391</v>
      </c>
      <c r="B104" s="1">
        <v>45162</v>
      </c>
      <c r="C104" t="s">
        <v>392</v>
      </c>
      <c r="D104" t="s">
        <v>393</v>
      </c>
      <c r="E104">
        <v>5</v>
      </c>
      <c r="F104" t="s">
        <v>78</v>
      </c>
      <c r="G104">
        <v>21</v>
      </c>
      <c r="H104" t="s">
        <v>394</v>
      </c>
      <c r="I104" t="s">
        <v>80</v>
      </c>
      <c r="J104">
        <v>59</v>
      </c>
      <c r="K104" t="s">
        <v>73</v>
      </c>
      <c r="L104" t="s">
        <v>108</v>
      </c>
      <c r="M104" s="1">
        <v>45647</v>
      </c>
      <c r="N104" t="s">
        <v>54</v>
      </c>
      <c r="O104" t="s">
        <v>395</v>
      </c>
      <c r="P104" t="s">
        <v>35</v>
      </c>
      <c r="Q104" t="s">
        <v>111</v>
      </c>
      <c r="R104">
        <v>4793.34</v>
      </c>
      <c r="S104">
        <v>7058.65</v>
      </c>
      <c r="T104">
        <v>107</v>
      </c>
      <c r="U104">
        <v>8705.7800000000007</v>
      </c>
      <c r="V104">
        <v>1154.32</v>
      </c>
      <c r="W104">
        <v>7551.46</v>
      </c>
      <c r="X104">
        <v>3942.08</v>
      </c>
      <c r="Y104" t="s">
        <v>37</v>
      </c>
      <c r="Z104">
        <v>35293.25</v>
      </c>
      <c r="AA104">
        <v>11326.549999999997</v>
      </c>
    </row>
    <row r="105" spans="1:27" x14ac:dyDescent="0.3">
      <c r="A105" t="s">
        <v>396</v>
      </c>
      <c r="B105" s="1">
        <v>45082</v>
      </c>
      <c r="C105" t="s">
        <v>389</v>
      </c>
      <c r="D105" t="s">
        <v>226</v>
      </c>
      <c r="E105">
        <v>2</v>
      </c>
      <c r="F105" t="s">
        <v>78</v>
      </c>
      <c r="G105">
        <v>5</v>
      </c>
      <c r="H105" t="s">
        <v>390</v>
      </c>
      <c r="I105" t="s">
        <v>80</v>
      </c>
      <c r="J105">
        <v>39</v>
      </c>
      <c r="K105" t="s">
        <v>65</v>
      </c>
      <c r="L105" t="s">
        <v>108</v>
      </c>
      <c r="M105" s="1">
        <v>44717</v>
      </c>
      <c r="N105" t="s">
        <v>44</v>
      </c>
      <c r="O105" t="s">
        <v>227</v>
      </c>
      <c r="P105" t="s">
        <v>35</v>
      </c>
      <c r="Q105" t="s">
        <v>111</v>
      </c>
      <c r="R105">
        <v>762.02</v>
      </c>
      <c r="S105">
        <v>1161.9100000000001</v>
      </c>
      <c r="T105">
        <v>293</v>
      </c>
      <c r="U105">
        <v>9599.1299999999992</v>
      </c>
      <c r="V105">
        <v>1221.6600000000001</v>
      </c>
      <c r="W105">
        <v>8377.4699999999993</v>
      </c>
      <c r="X105">
        <v>1345.66</v>
      </c>
      <c r="Y105" t="s">
        <v>56</v>
      </c>
      <c r="Z105">
        <v>2323.8200000000002</v>
      </c>
      <c r="AA105">
        <v>799.7800000000002</v>
      </c>
    </row>
    <row r="106" spans="1:27" x14ac:dyDescent="0.3">
      <c r="A106" t="s">
        <v>397</v>
      </c>
      <c r="B106" s="1">
        <v>45118</v>
      </c>
      <c r="C106" t="s">
        <v>266</v>
      </c>
      <c r="D106" t="s">
        <v>226</v>
      </c>
      <c r="E106">
        <v>5</v>
      </c>
      <c r="F106" t="s">
        <v>90</v>
      </c>
      <c r="G106">
        <v>12</v>
      </c>
      <c r="H106" t="s">
        <v>267</v>
      </c>
      <c r="I106" t="s">
        <v>80</v>
      </c>
      <c r="J106">
        <v>37</v>
      </c>
      <c r="K106" t="s">
        <v>73</v>
      </c>
      <c r="L106" t="s">
        <v>108</v>
      </c>
      <c r="M106" s="1">
        <v>44909</v>
      </c>
      <c r="N106" t="s">
        <v>33</v>
      </c>
      <c r="O106" t="s">
        <v>227</v>
      </c>
      <c r="P106" t="s">
        <v>35</v>
      </c>
      <c r="Q106" t="s">
        <v>111</v>
      </c>
      <c r="R106">
        <v>762.02</v>
      </c>
      <c r="S106">
        <v>1161.9100000000001</v>
      </c>
      <c r="T106">
        <v>293</v>
      </c>
      <c r="U106">
        <v>1225.97</v>
      </c>
      <c r="V106">
        <v>37.049999999999997</v>
      </c>
      <c r="W106">
        <v>1188.92</v>
      </c>
      <c r="X106">
        <v>4856.63</v>
      </c>
      <c r="Y106" t="s">
        <v>37</v>
      </c>
      <c r="Z106">
        <v>5809.55</v>
      </c>
      <c r="AA106">
        <v>1999.4500000000005</v>
      </c>
    </row>
    <row r="107" spans="1:27" x14ac:dyDescent="0.3">
      <c r="A107" t="s">
        <v>398</v>
      </c>
      <c r="B107" s="1">
        <v>45194</v>
      </c>
      <c r="C107" t="s">
        <v>389</v>
      </c>
      <c r="D107" t="s">
        <v>399</v>
      </c>
      <c r="E107">
        <v>4</v>
      </c>
      <c r="F107" t="s">
        <v>78</v>
      </c>
      <c r="G107">
        <v>10</v>
      </c>
      <c r="H107" t="s">
        <v>390</v>
      </c>
      <c r="I107" t="s">
        <v>80</v>
      </c>
      <c r="J107">
        <v>39</v>
      </c>
      <c r="K107" t="s">
        <v>65</v>
      </c>
      <c r="L107" t="s">
        <v>108</v>
      </c>
      <c r="M107" s="1">
        <v>44717</v>
      </c>
      <c r="N107" t="s">
        <v>44</v>
      </c>
      <c r="O107" t="s">
        <v>400</v>
      </c>
      <c r="P107" t="s">
        <v>94</v>
      </c>
      <c r="Q107" t="s">
        <v>46</v>
      </c>
      <c r="R107">
        <v>828.79</v>
      </c>
      <c r="S107">
        <v>1227.1300000000001</v>
      </c>
      <c r="T107">
        <v>228</v>
      </c>
      <c r="U107">
        <v>16216.47</v>
      </c>
      <c r="V107">
        <v>1992.34</v>
      </c>
      <c r="W107">
        <v>14224.13</v>
      </c>
      <c r="X107">
        <v>2252.89</v>
      </c>
      <c r="Y107" t="s">
        <v>56</v>
      </c>
      <c r="Z107">
        <v>4908.5200000000004</v>
      </c>
      <c r="AA107">
        <v>1593.3600000000006</v>
      </c>
    </row>
    <row r="108" spans="1:27" x14ac:dyDescent="0.3">
      <c r="A108" t="s">
        <v>401</v>
      </c>
      <c r="B108" s="1">
        <v>45289</v>
      </c>
      <c r="C108" t="s">
        <v>389</v>
      </c>
      <c r="D108" t="s">
        <v>146</v>
      </c>
      <c r="E108">
        <v>2</v>
      </c>
      <c r="F108" t="s">
        <v>78</v>
      </c>
      <c r="G108">
        <v>9</v>
      </c>
      <c r="H108" t="s">
        <v>390</v>
      </c>
      <c r="I108" t="s">
        <v>80</v>
      </c>
      <c r="J108">
        <v>39</v>
      </c>
      <c r="K108" t="s">
        <v>65</v>
      </c>
      <c r="L108" t="s">
        <v>108</v>
      </c>
      <c r="M108" s="1">
        <v>44717</v>
      </c>
      <c r="N108" t="s">
        <v>44</v>
      </c>
      <c r="O108" t="s">
        <v>147</v>
      </c>
      <c r="P108" t="s">
        <v>94</v>
      </c>
      <c r="Q108" t="s">
        <v>111</v>
      </c>
      <c r="R108">
        <v>662.05</v>
      </c>
      <c r="S108">
        <v>1019.21</v>
      </c>
      <c r="T108">
        <v>49</v>
      </c>
      <c r="U108">
        <v>13109.52</v>
      </c>
      <c r="V108">
        <v>474.33</v>
      </c>
      <c r="W108">
        <v>12635.19</v>
      </c>
      <c r="X108">
        <v>2096.35</v>
      </c>
      <c r="Y108" t="s">
        <v>47</v>
      </c>
      <c r="Z108">
        <v>2038.42</v>
      </c>
      <c r="AA108">
        <v>714.32000000000016</v>
      </c>
    </row>
    <row r="109" spans="1:27" x14ac:dyDescent="0.3">
      <c r="A109" t="s">
        <v>402</v>
      </c>
      <c r="B109" s="1">
        <v>44944</v>
      </c>
      <c r="C109" t="s">
        <v>403</v>
      </c>
      <c r="D109" t="s">
        <v>183</v>
      </c>
      <c r="E109">
        <v>6</v>
      </c>
      <c r="F109" t="s">
        <v>28</v>
      </c>
      <c r="G109">
        <v>18</v>
      </c>
      <c r="H109" t="s">
        <v>404</v>
      </c>
      <c r="I109" t="s">
        <v>30</v>
      </c>
      <c r="J109">
        <v>33</v>
      </c>
      <c r="K109" t="s">
        <v>92</v>
      </c>
      <c r="L109" t="s">
        <v>108</v>
      </c>
      <c r="M109" s="1">
        <v>44991</v>
      </c>
      <c r="N109" t="s">
        <v>44</v>
      </c>
      <c r="O109" t="s">
        <v>185</v>
      </c>
      <c r="P109" t="s">
        <v>110</v>
      </c>
      <c r="Q109" t="s">
        <v>36</v>
      </c>
      <c r="R109">
        <v>1358.27</v>
      </c>
      <c r="S109">
        <v>1886.86</v>
      </c>
      <c r="T109">
        <v>153</v>
      </c>
      <c r="U109">
        <v>17275.150000000001</v>
      </c>
      <c r="V109">
        <v>1021.19</v>
      </c>
      <c r="W109">
        <v>16253.96</v>
      </c>
      <c r="X109">
        <v>4624.32</v>
      </c>
      <c r="Y109" t="s">
        <v>47</v>
      </c>
      <c r="Z109">
        <v>11321.16</v>
      </c>
      <c r="AA109">
        <v>3171.5399999999995</v>
      </c>
    </row>
    <row r="110" spans="1:27" x14ac:dyDescent="0.3">
      <c r="A110" t="s">
        <v>405</v>
      </c>
      <c r="B110" s="1">
        <v>45111</v>
      </c>
      <c r="C110" t="s">
        <v>214</v>
      </c>
      <c r="D110" t="s">
        <v>129</v>
      </c>
      <c r="E110">
        <v>3</v>
      </c>
      <c r="F110" t="s">
        <v>51</v>
      </c>
      <c r="G110">
        <v>11</v>
      </c>
      <c r="H110" t="s">
        <v>215</v>
      </c>
      <c r="I110" t="s">
        <v>80</v>
      </c>
      <c r="J110">
        <v>49</v>
      </c>
      <c r="K110" t="s">
        <v>42</v>
      </c>
      <c r="L110" t="s">
        <v>32</v>
      </c>
      <c r="M110" s="1">
        <v>44661</v>
      </c>
      <c r="N110" t="s">
        <v>33</v>
      </c>
      <c r="O110" t="s">
        <v>131</v>
      </c>
      <c r="P110" t="s">
        <v>68</v>
      </c>
      <c r="Q110" t="s">
        <v>111</v>
      </c>
      <c r="R110">
        <v>4948.75</v>
      </c>
      <c r="S110">
        <v>6628.41</v>
      </c>
      <c r="T110">
        <v>268</v>
      </c>
      <c r="U110">
        <v>11959.21</v>
      </c>
      <c r="V110">
        <v>1470.96</v>
      </c>
      <c r="W110">
        <v>10488.25</v>
      </c>
      <c r="X110">
        <v>2352.5500000000002</v>
      </c>
      <c r="Y110" t="s">
        <v>47</v>
      </c>
      <c r="Z110">
        <v>19885.23</v>
      </c>
      <c r="AA110">
        <v>5038.9799999999996</v>
      </c>
    </row>
    <row r="111" spans="1:27" x14ac:dyDescent="0.3">
      <c r="A111" t="s">
        <v>406</v>
      </c>
      <c r="B111" s="1">
        <v>45187</v>
      </c>
      <c r="C111" t="s">
        <v>407</v>
      </c>
      <c r="D111" t="s">
        <v>408</v>
      </c>
      <c r="E111">
        <v>3</v>
      </c>
      <c r="F111" t="s">
        <v>90</v>
      </c>
      <c r="G111">
        <v>10</v>
      </c>
      <c r="H111" t="s">
        <v>409</v>
      </c>
      <c r="I111" t="s">
        <v>80</v>
      </c>
      <c r="J111">
        <v>22</v>
      </c>
      <c r="K111" t="s">
        <v>31</v>
      </c>
      <c r="L111" t="s">
        <v>81</v>
      </c>
      <c r="M111" s="1">
        <v>44661</v>
      </c>
      <c r="N111" t="s">
        <v>44</v>
      </c>
      <c r="O111" t="s">
        <v>410</v>
      </c>
      <c r="P111" t="s">
        <v>68</v>
      </c>
      <c r="Q111" t="s">
        <v>46</v>
      </c>
      <c r="R111">
        <v>2025.88</v>
      </c>
      <c r="S111">
        <v>2513.29</v>
      </c>
      <c r="T111">
        <v>67</v>
      </c>
      <c r="U111">
        <v>11474.22</v>
      </c>
      <c r="V111">
        <v>2868.16</v>
      </c>
      <c r="W111">
        <v>8606.06</v>
      </c>
      <c r="X111">
        <v>2150.94</v>
      </c>
      <c r="Y111" t="s">
        <v>47</v>
      </c>
      <c r="Z111">
        <v>7539.87</v>
      </c>
      <c r="AA111">
        <v>1462.2299999999996</v>
      </c>
    </row>
    <row r="112" spans="1:27" x14ac:dyDescent="0.3">
      <c r="A112" t="s">
        <v>411</v>
      </c>
      <c r="B112" s="1">
        <v>45080</v>
      </c>
      <c r="C112" t="s">
        <v>412</v>
      </c>
      <c r="D112" t="s">
        <v>322</v>
      </c>
      <c r="E112">
        <v>4</v>
      </c>
      <c r="F112" t="s">
        <v>28</v>
      </c>
      <c r="G112">
        <v>21</v>
      </c>
      <c r="H112" t="s">
        <v>413</v>
      </c>
      <c r="I112" t="s">
        <v>30</v>
      </c>
      <c r="J112">
        <v>40</v>
      </c>
      <c r="K112" t="s">
        <v>31</v>
      </c>
      <c r="L112" t="s">
        <v>43</v>
      </c>
      <c r="M112" s="1">
        <v>45443</v>
      </c>
      <c r="N112" t="s">
        <v>44</v>
      </c>
      <c r="O112" t="s">
        <v>324</v>
      </c>
      <c r="P112" t="s">
        <v>35</v>
      </c>
      <c r="Q112" t="s">
        <v>111</v>
      </c>
      <c r="R112">
        <v>3696.72</v>
      </c>
      <c r="S112">
        <v>4397.13</v>
      </c>
      <c r="T112">
        <v>92</v>
      </c>
      <c r="U112">
        <v>9081.7000000000007</v>
      </c>
      <c r="V112">
        <v>773.48</v>
      </c>
      <c r="W112">
        <v>8308.2199999999993</v>
      </c>
      <c r="X112">
        <v>4645.7</v>
      </c>
      <c r="Y112" t="s">
        <v>56</v>
      </c>
      <c r="Z112">
        <v>17588.52</v>
      </c>
      <c r="AA112">
        <v>2801.6400000000012</v>
      </c>
    </row>
    <row r="113" spans="1:27" x14ac:dyDescent="0.3">
      <c r="A113" t="s">
        <v>414</v>
      </c>
      <c r="B113" s="1">
        <v>45091</v>
      </c>
      <c r="C113" t="s">
        <v>415</v>
      </c>
      <c r="D113" t="s">
        <v>287</v>
      </c>
      <c r="E113">
        <v>6</v>
      </c>
      <c r="F113" t="s">
        <v>78</v>
      </c>
      <c r="G113">
        <v>22</v>
      </c>
      <c r="H113" t="s">
        <v>416</v>
      </c>
      <c r="I113" t="s">
        <v>30</v>
      </c>
      <c r="J113">
        <v>54</v>
      </c>
      <c r="K113" t="s">
        <v>155</v>
      </c>
      <c r="L113" t="s">
        <v>66</v>
      </c>
      <c r="M113" s="1">
        <v>45337</v>
      </c>
      <c r="N113" t="s">
        <v>54</v>
      </c>
      <c r="O113" t="s">
        <v>288</v>
      </c>
      <c r="P113" t="s">
        <v>68</v>
      </c>
      <c r="Q113" t="s">
        <v>46</v>
      </c>
      <c r="R113">
        <v>2345.7800000000002</v>
      </c>
      <c r="S113">
        <v>2891.96</v>
      </c>
      <c r="T113">
        <v>122</v>
      </c>
      <c r="U113">
        <v>13753</v>
      </c>
      <c r="V113">
        <v>3238.52</v>
      </c>
      <c r="W113">
        <v>10514.48</v>
      </c>
      <c r="X113">
        <v>397.17</v>
      </c>
      <c r="Y113" t="s">
        <v>83</v>
      </c>
      <c r="Z113">
        <v>17351.760000000002</v>
      </c>
      <c r="AA113">
        <v>3277.079999999999</v>
      </c>
    </row>
    <row r="114" spans="1:27" x14ac:dyDescent="0.3">
      <c r="A114" t="s">
        <v>417</v>
      </c>
      <c r="B114" s="1">
        <v>45165</v>
      </c>
      <c r="C114" t="s">
        <v>412</v>
      </c>
      <c r="D114" t="s">
        <v>207</v>
      </c>
      <c r="E114">
        <v>2</v>
      </c>
      <c r="F114" t="s">
        <v>28</v>
      </c>
      <c r="G114">
        <v>22</v>
      </c>
      <c r="H114" t="s">
        <v>413</v>
      </c>
      <c r="I114" t="s">
        <v>30</v>
      </c>
      <c r="J114">
        <v>40</v>
      </c>
      <c r="K114" t="s">
        <v>31</v>
      </c>
      <c r="L114" t="s">
        <v>43</v>
      </c>
      <c r="M114" s="1">
        <v>45443</v>
      </c>
      <c r="N114" t="s">
        <v>44</v>
      </c>
      <c r="O114" t="s">
        <v>209</v>
      </c>
      <c r="P114" t="s">
        <v>35</v>
      </c>
      <c r="Q114" t="s">
        <v>46</v>
      </c>
      <c r="R114">
        <v>4764.59</v>
      </c>
      <c r="S114">
        <v>5703.68</v>
      </c>
      <c r="T114">
        <v>87</v>
      </c>
      <c r="U114">
        <v>12951.84</v>
      </c>
      <c r="V114">
        <v>2653.04</v>
      </c>
      <c r="W114">
        <v>10298.799999999999</v>
      </c>
      <c r="X114">
        <v>2873.77</v>
      </c>
      <c r="Y114" t="s">
        <v>83</v>
      </c>
      <c r="Z114">
        <v>11407.36</v>
      </c>
      <c r="AA114">
        <v>1878.1800000000003</v>
      </c>
    </row>
    <row r="115" spans="1:27" x14ac:dyDescent="0.3">
      <c r="A115" t="s">
        <v>418</v>
      </c>
      <c r="B115" s="1">
        <v>44960</v>
      </c>
      <c r="C115" t="s">
        <v>419</v>
      </c>
      <c r="D115" t="s">
        <v>420</v>
      </c>
      <c r="E115">
        <v>5</v>
      </c>
      <c r="F115" t="s">
        <v>78</v>
      </c>
      <c r="G115">
        <v>10</v>
      </c>
      <c r="H115" t="s">
        <v>421</v>
      </c>
      <c r="I115" t="s">
        <v>30</v>
      </c>
      <c r="J115">
        <v>23</v>
      </c>
      <c r="K115" t="s">
        <v>65</v>
      </c>
      <c r="L115" t="s">
        <v>43</v>
      </c>
      <c r="M115" s="1">
        <v>45113</v>
      </c>
      <c r="N115" t="s">
        <v>44</v>
      </c>
      <c r="O115" t="s">
        <v>422</v>
      </c>
      <c r="P115" t="s">
        <v>110</v>
      </c>
      <c r="Q115" t="s">
        <v>46</v>
      </c>
      <c r="R115">
        <v>2369.11</v>
      </c>
      <c r="S115">
        <v>2775.74</v>
      </c>
      <c r="T115">
        <v>21</v>
      </c>
      <c r="U115">
        <v>12736.35</v>
      </c>
      <c r="V115">
        <v>351.09</v>
      </c>
      <c r="W115">
        <v>12385.26</v>
      </c>
      <c r="X115">
        <v>881.66</v>
      </c>
      <c r="Y115" t="s">
        <v>47</v>
      </c>
      <c r="Z115">
        <v>13878.699999999999</v>
      </c>
      <c r="AA115">
        <v>2033.1499999999983</v>
      </c>
    </row>
    <row r="116" spans="1:27" x14ac:dyDescent="0.3">
      <c r="A116" t="s">
        <v>423</v>
      </c>
      <c r="B116" s="1">
        <v>45113</v>
      </c>
      <c r="C116" t="s">
        <v>424</v>
      </c>
      <c r="D116" t="s">
        <v>259</v>
      </c>
      <c r="E116">
        <v>4</v>
      </c>
      <c r="F116" t="s">
        <v>78</v>
      </c>
      <c r="G116">
        <v>15</v>
      </c>
      <c r="H116" t="s">
        <v>425</v>
      </c>
      <c r="I116" t="s">
        <v>30</v>
      </c>
      <c r="J116">
        <v>53</v>
      </c>
      <c r="K116" t="s">
        <v>92</v>
      </c>
      <c r="L116" t="s">
        <v>53</v>
      </c>
      <c r="M116" s="1">
        <v>44905</v>
      </c>
      <c r="N116" t="s">
        <v>33</v>
      </c>
      <c r="O116" t="s">
        <v>261</v>
      </c>
      <c r="P116" t="s">
        <v>94</v>
      </c>
      <c r="Q116" t="s">
        <v>111</v>
      </c>
      <c r="R116">
        <v>4426.51</v>
      </c>
      <c r="S116">
        <v>5123.7299999999996</v>
      </c>
      <c r="T116">
        <v>298</v>
      </c>
      <c r="U116">
        <v>7592.16</v>
      </c>
      <c r="V116">
        <v>1767.73</v>
      </c>
      <c r="W116">
        <v>5824.43</v>
      </c>
      <c r="X116">
        <v>1444.14</v>
      </c>
      <c r="Y116" t="s">
        <v>47</v>
      </c>
      <c r="Z116">
        <v>20494.919999999998</v>
      </c>
      <c r="AA116">
        <v>2788.8799999999974</v>
      </c>
    </row>
    <row r="117" spans="1:27" x14ac:dyDescent="0.3">
      <c r="A117" t="s">
        <v>426</v>
      </c>
      <c r="B117" s="1">
        <v>44985</v>
      </c>
      <c r="C117" t="s">
        <v>275</v>
      </c>
      <c r="D117" t="s">
        <v>207</v>
      </c>
      <c r="E117">
        <v>6</v>
      </c>
      <c r="F117" t="s">
        <v>78</v>
      </c>
      <c r="G117">
        <v>24</v>
      </c>
      <c r="H117" t="s">
        <v>277</v>
      </c>
      <c r="I117" t="s">
        <v>30</v>
      </c>
      <c r="J117">
        <v>27</v>
      </c>
      <c r="K117" t="s">
        <v>42</v>
      </c>
      <c r="L117" t="s">
        <v>53</v>
      </c>
      <c r="M117" s="1">
        <v>45434</v>
      </c>
      <c r="N117" t="s">
        <v>54</v>
      </c>
      <c r="O117" t="s">
        <v>209</v>
      </c>
      <c r="P117" t="s">
        <v>35</v>
      </c>
      <c r="Q117" t="s">
        <v>46</v>
      </c>
      <c r="R117">
        <v>4764.59</v>
      </c>
      <c r="S117">
        <v>5703.68</v>
      </c>
      <c r="T117">
        <v>87</v>
      </c>
      <c r="U117">
        <v>2523.21</v>
      </c>
      <c r="V117">
        <v>488.69</v>
      </c>
      <c r="W117">
        <v>2034.52</v>
      </c>
      <c r="X117">
        <v>1246.57</v>
      </c>
      <c r="Y117" t="s">
        <v>83</v>
      </c>
      <c r="Z117">
        <v>34222.080000000002</v>
      </c>
      <c r="AA117">
        <v>5634.5400000000009</v>
      </c>
    </row>
    <row r="118" spans="1:27" x14ac:dyDescent="0.3">
      <c r="A118" t="s">
        <v>427</v>
      </c>
      <c r="B118" s="1">
        <v>45162</v>
      </c>
      <c r="C118" t="s">
        <v>306</v>
      </c>
      <c r="D118" t="s">
        <v>428</v>
      </c>
      <c r="E118">
        <v>5</v>
      </c>
      <c r="F118" t="s">
        <v>51</v>
      </c>
      <c r="G118">
        <v>14</v>
      </c>
      <c r="H118" t="s">
        <v>307</v>
      </c>
      <c r="I118" t="s">
        <v>30</v>
      </c>
      <c r="J118">
        <v>23</v>
      </c>
      <c r="K118" t="s">
        <v>42</v>
      </c>
      <c r="L118" t="s">
        <v>32</v>
      </c>
      <c r="M118" s="1">
        <v>45214</v>
      </c>
      <c r="N118" t="s">
        <v>54</v>
      </c>
      <c r="O118" t="s">
        <v>429</v>
      </c>
      <c r="P118" t="s">
        <v>110</v>
      </c>
      <c r="Q118" t="s">
        <v>46</v>
      </c>
      <c r="R118">
        <v>929.24</v>
      </c>
      <c r="S118">
        <v>1350.29</v>
      </c>
      <c r="T118">
        <v>22</v>
      </c>
      <c r="U118">
        <v>17585.23</v>
      </c>
      <c r="V118">
        <v>104.7</v>
      </c>
      <c r="W118">
        <v>17480.53</v>
      </c>
      <c r="X118">
        <v>318.58999999999997</v>
      </c>
      <c r="Y118" t="s">
        <v>47</v>
      </c>
      <c r="Z118">
        <v>6751.45</v>
      </c>
      <c r="AA118">
        <v>2105.25</v>
      </c>
    </row>
    <row r="119" spans="1:27" x14ac:dyDescent="0.3">
      <c r="A119" t="s">
        <v>430</v>
      </c>
      <c r="B119" s="1">
        <v>44999</v>
      </c>
      <c r="C119" t="s">
        <v>431</v>
      </c>
      <c r="D119" t="s">
        <v>153</v>
      </c>
      <c r="E119">
        <v>4</v>
      </c>
      <c r="F119" t="s">
        <v>90</v>
      </c>
      <c r="G119">
        <v>2</v>
      </c>
      <c r="H119" t="s">
        <v>432</v>
      </c>
      <c r="I119" t="s">
        <v>80</v>
      </c>
      <c r="J119">
        <v>34</v>
      </c>
      <c r="K119" t="s">
        <v>73</v>
      </c>
      <c r="L119" t="s">
        <v>32</v>
      </c>
      <c r="M119" s="1">
        <v>45084</v>
      </c>
      <c r="N119" t="s">
        <v>33</v>
      </c>
      <c r="O119" t="s">
        <v>156</v>
      </c>
      <c r="P119" t="s">
        <v>35</v>
      </c>
      <c r="Q119" t="s">
        <v>36</v>
      </c>
      <c r="R119">
        <v>2340.46</v>
      </c>
      <c r="S119">
        <v>2600.46</v>
      </c>
      <c r="T119">
        <v>245</v>
      </c>
      <c r="U119">
        <v>11123.17</v>
      </c>
      <c r="V119">
        <v>424.1</v>
      </c>
      <c r="W119">
        <v>10699.07</v>
      </c>
      <c r="X119">
        <v>380.83</v>
      </c>
      <c r="Y119" t="s">
        <v>83</v>
      </c>
      <c r="Z119">
        <v>10401.84</v>
      </c>
      <c r="AA119">
        <v>1040</v>
      </c>
    </row>
    <row r="120" spans="1:27" x14ac:dyDescent="0.3">
      <c r="A120" t="s">
        <v>433</v>
      </c>
      <c r="B120" s="1">
        <v>45252</v>
      </c>
      <c r="C120" t="s">
        <v>434</v>
      </c>
      <c r="D120" t="s">
        <v>349</v>
      </c>
      <c r="E120">
        <v>1</v>
      </c>
      <c r="F120" t="s">
        <v>28</v>
      </c>
      <c r="G120">
        <v>4</v>
      </c>
      <c r="H120" t="s">
        <v>435</v>
      </c>
      <c r="I120" t="s">
        <v>80</v>
      </c>
      <c r="J120">
        <v>59</v>
      </c>
      <c r="K120" t="s">
        <v>53</v>
      </c>
      <c r="L120" t="s">
        <v>43</v>
      </c>
      <c r="M120" s="1">
        <v>45296</v>
      </c>
      <c r="N120" t="s">
        <v>44</v>
      </c>
      <c r="O120" t="s">
        <v>350</v>
      </c>
      <c r="P120" t="s">
        <v>35</v>
      </c>
      <c r="Q120" t="s">
        <v>120</v>
      </c>
      <c r="R120">
        <v>2100.67</v>
      </c>
      <c r="S120">
        <v>3046.71</v>
      </c>
      <c r="T120">
        <v>206</v>
      </c>
      <c r="U120">
        <v>9997.44</v>
      </c>
      <c r="V120">
        <v>2307.86</v>
      </c>
      <c r="W120">
        <v>7689.58</v>
      </c>
      <c r="X120">
        <v>3703.98</v>
      </c>
      <c r="Y120" t="s">
        <v>83</v>
      </c>
      <c r="Z120">
        <v>3046.71</v>
      </c>
      <c r="AA120">
        <v>946.04</v>
      </c>
    </row>
    <row r="121" spans="1:27" x14ac:dyDescent="0.3">
      <c r="A121" t="s">
        <v>436</v>
      </c>
      <c r="B121" s="1">
        <v>44938</v>
      </c>
      <c r="C121" t="s">
        <v>252</v>
      </c>
      <c r="D121" t="s">
        <v>290</v>
      </c>
      <c r="E121">
        <v>2</v>
      </c>
      <c r="F121" t="s">
        <v>51</v>
      </c>
      <c r="G121">
        <v>23</v>
      </c>
      <c r="H121" t="s">
        <v>253</v>
      </c>
      <c r="I121" t="s">
        <v>30</v>
      </c>
      <c r="J121">
        <v>29</v>
      </c>
      <c r="K121" t="s">
        <v>31</v>
      </c>
      <c r="L121" t="s">
        <v>32</v>
      </c>
      <c r="M121" s="1">
        <v>45154</v>
      </c>
      <c r="N121" t="s">
        <v>33</v>
      </c>
      <c r="O121" t="s">
        <v>291</v>
      </c>
      <c r="P121" t="s">
        <v>68</v>
      </c>
      <c r="Q121" t="s">
        <v>111</v>
      </c>
      <c r="R121">
        <v>2649.82</v>
      </c>
      <c r="S121">
        <v>3522.16</v>
      </c>
      <c r="T121">
        <v>205</v>
      </c>
      <c r="U121">
        <v>768.67</v>
      </c>
      <c r="V121">
        <v>60.07</v>
      </c>
      <c r="W121">
        <v>708.6</v>
      </c>
      <c r="X121">
        <v>2952.12</v>
      </c>
      <c r="Y121" t="s">
        <v>47</v>
      </c>
      <c r="Z121">
        <v>7044.32</v>
      </c>
      <c r="AA121">
        <v>1744.6799999999994</v>
      </c>
    </row>
    <row r="122" spans="1:27" x14ac:dyDescent="0.3">
      <c r="A122" t="s">
        <v>437</v>
      </c>
      <c r="B122" s="1">
        <v>45173</v>
      </c>
      <c r="C122" t="s">
        <v>438</v>
      </c>
      <c r="D122" t="s">
        <v>219</v>
      </c>
      <c r="E122">
        <v>4</v>
      </c>
      <c r="F122" t="s">
        <v>51</v>
      </c>
      <c r="G122">
        <v>9</v>
      </c>
      <c r="H122" t="s">
        <v>439</v>
      </c>
      <c r="I122" t="s">
        <v>30</v>
      </c>
      <c r="J122">
        <v>57</v>
      </c>
      <c r="K122" t="s">
        <v>53</v>
      </c>
      <c r="L122" t="s">
        <v>43</v>
      </c>
      <c r="M122" s="1">
        <v>45545</v>
      </c>
      <c r="N122" t="s">
        <v>33</v>
      </c>
      <c r="O122" t="s">
        <v>221</v>
      </c>
      <c r="P122" t="s">
        <v>110</v>
      </c>
      <c r="Q122" t="s">
        <v>46</v>
      </c>
      <c r="R122">
        <v>2704.31</v>
      </c>
      <c r="S122">
        <v>4105</v>
      </c>
      <c r="T122">
        <v>48</v>
      </c>
      <c r="U122">
        <v>14385.15</v>
      </c>
      <c r="V122">
        <v>1784.29</v>
      </c>
      <c r="W122">
        <v>12600.86</v>
      </c>
      <c r="X122">
        <v>1896.91</v>
      </c>
      <c r="Y122" t="s">
        <v>56</v>
      </c>
      <c r="Z122">
        <v>16420</v>
      </c>
      <c r="AA122">
        <v>5602.76</v>
      </c>
    </row>
    <row r="123" spans="1:27" x14ac:dyDescent="0.3">
      <c r="A123" t="s">
        <v>440</v>
      </c>
      <c r="B123" s="1">
        <v>44929</v>
      </c>
      <c r="C123" t="s">
        <v>441</v>
      </c>
      <c r="D123" t="s">
        <v>259</v>
      </c>
      <c r="E123">
        <v>4</v>
      </c>
      <c r="F123" t="s">
        <v>28</v>
      </c>
      <c r="G123">
        <v>15</v>
      </c>
      <c r="H123" t="s">
        <v>442</v>
      </c>
      <c r="I123" t="s">
        <v>30</v>
      </c>
      <c r="J123">
        <v>43</v>
      </c>
      <c r="K123" t="s">
        <v>73</v>
      </c>
      <c r="L123" t="s">
        <v>32</v>
      </c>
      <c r="M123" s="1">
        <v>44709</v>
      </c>
      <c r="N123" t="s">
        <v>44</v>
      </c>
      <c r="O123" t="s">
        <v>261</v>
      </c>
      <c r="P123" t="s">
        <v>94</v>
      </c>
      <c r="Q123" t="s">
        <v>111</v>
      </c>
      <c r="R123">
        <v>4426.51</v>
      </c>
      <c r="S123">
        <v>5123.7299999999996</v>
      </c>
      <c r="T123">
        <v>298</v>
      </c>
      <c r="U123">
        <v>12378.88</v>
      </c>
      <c r="V123">
        <v>2478.54</v>
      </c>
      <c r="W123">
        <v>9900.34</v>
      </c>
      <c r="X123">
        <v>1612.86</v>
      </c>
      <c r="Y123" t="s">
        <v>83</v>
      </c>
      <c r="Z123">
        <v>20494.919999999998</v>
      </c>
      <c r="AA123">
        <v>2788.8799999999974</v>
      </c>
    </row>
    <row r="124" spans="1:27" x14ac:dyDescent="0.3">
      <c r="A124" t="s">
        <v>443</v>
      </c>
      <c r="B124" s="1">
        <v>45122</v>
      </c>
      <c r="C124" t="s">
        <v>444</v>
      </c>
      <c r="D124" t="s">
        <v>146</v>
      </c>
      <c r="E124">
        <v>1</v>
      </c>
      <c r="F124" t="s">
        <v>28</v>
      </c>
      <c r="G124">
        <v>23</v>
      </c>
      <c r="H124" t="s">
        <v>445</v>
      </c>
      <c r="I124" t="s">
        <v>80</v>
      </c>
      <c r="J124">
        <v>37</v>
      </c>
      <c r="K124" t="s">
        <v>42</v>
      </c>
      <c r="L124" t="s">
        <v>66</v>
      </c>
      <c r="M124" s="1">
        <v>44919</v>
      </c>
      <c r="N124" t="s">
        <v>54</v>
      </c>
      <c r="O124" t="s">
        <v>147</v>
      </c>
      <c r="P124" t="s">
        <v>94</v>
      </c>
      <c r="Q124" t="s">
        <v>111</v>
      </c>
      <c r="R124">
        <v>662.05</v>
      </c>
      <c r="S124">
        <v>1019.21</v>
      </c>
      <c r="T124">
        <v>49</v>
      </c>
      <c r="U124">
        <v>2555.0100000000002</v>
      </c>
      <c r="V124">
        <v>513.89</v>
      </c>
      <c r="W124">
        <v>2041.12</v>
      </c>
      <c r="X124">
        <v>3482.05</v>
      </c>
      <c r="Y124" t="s">
        <v>56</v>
      </c>
      <c r="Z124">
        <v>1019.21</v>
      </c>
      <c r="AA124">
        <v>357.16000000000008</v>
      </c>
    </row>
    <row r="125" spans="1:27" x14ac:dyDescent="0.3">
      <c r="A125" t="s">
        <v>446</v>
      </c>
      <c r="B125" s="1">
        <v>45121</v>
      </c>
      <c r="C125" t="s">
        <v>266</v>
      </c>
      <c r="D125" t="s">
        <v>269</v>
      </c>
      <c r="E125">
        <v>6</v>
      </c>
      <c r="F125" t="s">
        <v>90</v>
      </c>
      <c r="G125">
        <v>19</v>
      </c>
      <c r="H125" t="s">
        <v>267</v>
      </c>
      <c r="I125" t="s">
        <v>80</v>
      </c>
      <c r="J125">
        <v>37</v>
      </c>
      <c r="K125" t="s">
        <v>73</v>
      </c>
      <c r="L125" t="s">
        <v>108</v>
      </c>
      <c r="M125" s="1">
        <v>44909</v>
      </c>
      <c r="N125" t="s">
        <v>33</v>
      </c>
      <c r="O125" t="s">
        <v>270</v>
      </c>
      <c r="P125" t="s">
        <v>35</v>
      </c>
      <c r="Q125" t="s">
        <v>120</v>
      </c>
      <c r="R125">
        <v>4675.05</v>
      </c>
      <c r="S125">
        <v>5769.35</v>
      </c>
      <c r="T125">
        <v>260</v>
      </c>
      <c r="U125">
        <v>13901.91</v>
      </c>
      <c r="V125">
        <v>906.82</v>
      </c>
      <c r="W125">
        <v>12995.09</v>
      </c>
      <c r="X125">
        <v>1247.57</v>
      </c>
      <c r="Y125" t="s">
        <v>56</v>
      </c>
      <c r="Z125">
        <v>34616.100000000006</v>
      </c>
      <c r="AA125">
        <v>6565.8000000000011</v>
      </c>
    </row>
    <row r="126" spans="1:27" x14ac:dyDescent="0.3">
      <c r="A126" t="s">
        <v>447</v>
      </c>
      <c r="B126" s="1">
        <v>45233</v>
      </c>
      <c r="C126" t="s">
        <v>441</v>
      </c>
      <c r="D126" t="s">
        <v>448</v>
      </c>
      <c r="E126">
        <v>4</v>
      </c>
      <c r="F126" t="s">
        <v>90</v>
      </c>
      <c r="G126">
        <v>12</v>
      </c>
      <c r="H126" t="s">
        <v>442</v>
      </c>
      <c r="I126" t="s">
        <v>30</v>
      </c>
      <c r="J126">
        <v>43</v>
      </c>
      <c r="K126" t="s">
        <v>73</v>
      </c>
      <c r="L126" t="s">
        <v>32</v>
      </c>
      <c r="M126" s="1">
        <v>44709</v>
      </c>
      <c r="N126" t="s">
        <v>44</v>
      </c>
      <c r="O126" t="s">
        <v>449</v>
      </c>
      <c r="P126" t="s">
        <v>110</v>
      </c>
      <c r="Q126" t="s">
        <v>120</v>
      </c>
      <c r="R126">
        <v>4836.3999999999996</v>
      </c>
      <c r="S126">
        <v>7004.05</v>
      </c>
      <c r="T126">
        <v>98</v>
      </c>
      <c r="U126">
        <v>7105.96</v>
      </c>
      <c r="V126">
        <v>1706.26</v>
      </c>
      <c r="W126">
        <v>5399.7</v>
      </c>
      <c r="X126">
        <v>257.17</v>
      </c>
      <c r="Y126" t="s">
        <v>37</v>
      </c>
      <c r="Z126">
        <v>28016.2</v>
      </c>
      <c r="AA126">
        <v>8670.6000000000022</v>
      </c>
    </row>
    <row r="127" spans="1:27" x14ac:dyDescent="0.3">
      <c r="A127" t="s">
        <v>450</v>
      </c>
      <c r="B127" s="1">
        <v>45047</v>
      </c>
      <c r="C127" t="s">
        <v>266</v>
      </c>
      <c r="D127" t="s">
        <v>315</v>
      </c>
      <c r="E127">
        <v>4</v>
      </c>
      <c r="F127" t="s">
        <v>51</v>
      </c>
      <c r="G127">
        <v>12</v>
      </c>
      <c r="H127" t="s">
        <v>267</v>
      </c>
      <c r="I127" t="s">
        <v>80</v>
      </c>
      <c r="J127">
        <v>37</v>
      </c>
      <c r="K127" t="s">
        <v>73</v>
      </c>
      <c r="L127" t="s">
        <v>108</v>
      </c>
      <c r="M127" s="1">
        <v>44909</v>
      </c>
      <c r="N127" t="s">
        <v>33</v>
      </c>
      <c r="O127" t="s">
        <v>316</v>
      </c>
      <c r="P127" t="s">
        <v>110</v>
      </c>
      <c r="Q127" t="s">
        <v>120</v>
      </c>
      <c r="R127">
        <v>2359.8000000000002</v>
      </c>
      <c r="S127">
        <v>2910.71</v>
      </c>
      <c r="T127">
        <v>211</v>
      </c>
      <c r="U127">
        <v>7062.7</v>
      </c>
      <c r="V127">
        <v>1554.52</v>
      </c>
      <c r="W127">
        <v>5508.18</v>
      </c>
      <c r="X127">
        <v>319.67</v>
      </c>
      <c r="Y127" t="s">
        <v>47</v>
      </c>
      <c r="Z127">
        <v>11642.84</v>
      </c>
      <c r="AA127">
        <v>2203.6399999999994</v>
      </c>
    </row>
    <row r="128" spans="1:27" x14ac:dyDescent="0.3">
      <c r="A128" t="s">
        <v>451</v>
      </c>
      <c r="B128" s="1">
        <v>45166</v>
      </c>
      <c r="C128" t="s">
        <v>452</v>
      </c>
      <c r="D128" t="s">
        <v>202</v>
      </c>
      <c r="E128">
        <v>2</v>
      </c>
      <c r="F128" t="s">
        <v>51</v>
      </c>
      <c r="G128">
        <v>22</v>
      </c>
      <c r="H128" t="s">
        <v>453</v>
      </c>
      <c r="I128" t="s">
        <v>30</v>
      </c>
      <c r="J128">
        <v>37</v>
      </c>
      <c r="K128" t="s">
        <v>92</v>
      </c>
      <c r="L128" t="s">
        <v>32</v>
      </c>
      <c r="M128" s="1">
        <v>45655</v>
      </c>
      <c r="N128" t="s">
        <v>54</v>
      </c>
      <c r="O128" t="s">
        <v>204</v>
      </c>
      <c r="P128" t="s">
        <v>110</v>
      </c>
      <c r="Q128" t="s">
        <v>111</v>
      </c>
      <c r="R128">
        <v>830.87</v>
      </c>
      <c r="S128">
        <v>1283.0999999999999</v>
      </c>
      <c r="T128">
        <v>46</v>
      </c>
      <c r="U128">
        <v>13754.38</v>
      </c>
      <c r="V128">
        <v>2104.48</v>
      </c>
      <c r="W128">
        <v>11649.9</v>
      </c>
      <c r="X128">
        <v>2889.4</v>
      </c>
      <c r="Y128" t="s">
        <v>83</v>
      </c>
      <c r="Z128">
        <v>2566.1999999999998</v>
      </c>
      <c r="AA128">
        <v>904.45999999999981</v>
      </c>
    </row>
    <row r="129" spans="1:27" x14ac:dyDescent="0.3">
      <c r="A129" t="s">
        <v>454</v>
      </c>
      <c r="B129" s="1">
        <v>45010</v>
      </c>
      <c r="C129" t="s">
        <v>266</v>
      </c>
      <c r="D129" t="s">
        <v>428</v>
      </c>
      <c r="E129">
        <v>4</v>
      </c>
      <c r="F129" t="s">
        <v>90</v>
      </c>
      <c r="G129">
        <v>8</v>
      </c>
      <c r="H129" t="s">
        <v>267</v>
      </c>
      <c r="I129" t="s">
        <v>80</v>
      </c>
      <c r="J129">
        <v>37</v>
      </c>
      <c r="K129" t="s">
        <v>73</v>
      </c>
      <c r="L129" t="s">
        <v>108</v>
      </c>
      <c r="M129" s="1">
        <v>44909</v>
      </c>
      <c r="N129" t="s">
        <v>33</v>
      </c>
      <c r="O129" t="s">
        <v>429</v>
      </c>
      <c r="P129" t="s">
        <v>110</v>
      </c>
      <c r="Q129" t="s">
        <v>46</v>
      </c>
      <c r="R129">
        <v>929.24</v>
      </c>
      <c r="S129">
        <v>1350.29</v>
      </c>
      <c r="T129">
        <v>22</v>
      </c>
      <c r="U129">
        <v>15528.05</v>
      </c>
      <c r="V129">
        <v>438.49</v>
      </c>
      <c r="W129">
        <v>15089.56</v>
      </c>
      <c r="X129">
        <v>3088.54</v>
      </c>
      <c r="Y129" t="s">
        <v>83</v>
      </c>
      <c r="Z129">
        <v>5401.16</v>
      </c>
      <c r="AA129">
        <v>1684.1999999999998</v>
      </c>
    </row>
    <row r="130" spans="1:27" x14ac:dyDescent="0.3">
      <c r="A130" t="s">
        <v>455</v>
      </c>
      <c r="B130" s="1">
        <v>45282</v>
      </c>
      <c r="C130" t="s">
        <v>456</v>
      </c>
      <c r="D130" t="s">
        <v>236</v>
      </c>
      <c r="E130">
        <v>1</v>
      </c>
      <c r="F130" t="s">
        <v>28</v>
      </c>
      <c r="G130">
        <v>17</v>
      </c>
      <c r="H130" t="s">
        <v>457</v>
      </c>
      <c r="I130" t="s">
        <v>30</v>
      </c>
      <c r="J130">
        <v>30</v>
      </c>
      <c r="K130" t="s">
        <v>31</v>
      </c>
      <c r="L130" t="s">
        <v>108</v>
      </c>
      <c r="M130" s="1">
        <v>45281</v>
      </c>
      <c r="N130" t="s">
        <v>54</v>
      </c>
      <c r="O130" t="s">
        <v>238</v>
      </c>
      <c r="P130" t="s">
        <v>68</v>
      </c>
      <c r="Q130" t="s">
        <v>120</v>
      </c>
      <c r="R130">
        <v>3957.37</v>
      </c>
      <c r="S130">
        <v>5045.3500000000004</v>
      </c>
      <c r="T130">
        <v>227</v>
      </c>
      <c r="U130">
        <v>7060.35</v>
      </c>
      <c r="V130">
        <v>1154.9100000000001</v>
      </c>
      <c r="W130">
        <v>5905.44</v>
      </c>
      <c r="X130">
        <v>1238.3</v>
      </c>
      <c r="Y130" t="s">
        <v>47</v>
      </c>
      <c r="Z130">
        <v>5045.3500000000004</v>
      </c>
      <c r="AA130">
        <v>1087.9800000000005</v>
      </c>
    </row>
    <row r="131" spans="1:27" x14ac:dyDescent="0.3">
      <c r="A131" t="s">
        <v>458</v>
      </c>
      <c r="B131" s="1">
        <v>44960</v>
      </c>
      <c r="C131" t="s">
        <v>459</v>
      </c>
      <c r="D131" t="s">
        <v>190</v>
      </c>
      <c r="E131">
        <v>3</v>
      </c>
      <c r="F131" t="s">
        <v>51</v>
      </c>
      <c r="G131">
        <v>2</v>
      </c>
      <c r="H131" t="s">
        <v>460</v>
      </c>
      <c r="I131" t="s">
        <v>80</v>
      </c>
      <c r="J131">
        <v>47</v>
      </c>
      <c r="K131" t="s">
        <v>92</v>
      </c>
      <c r="L131" t="s">
        <v>32</v>
      </c>
      <c r="M131" s="1">
        <v>44764</v>
      </c>
      <c r="N131" t="s">
        <v>44</v>
      </c>
      <c r="O131" t="s">
        <v>191</v>
      </c>
      <c r="P131" t="s">
        <v>68</v>
      </c>
      <c r="Q131" t="s">
        <v>120</v>
      </c>
      <c r="R131">
        <v>2412.25</v>
      </c>
      <c r="S131">
        <v>3672.51</v>
      </c>
      <c r="T131">
        <v>100</v>
      </c>
      <c r="U131">
        <v>1306</v>
      </c>
      <c r="V131">
        <v>127.1</v>
      </c>
      <c r="W131">
        <v>1178.9000000000001</v>
      </c>
      <c r="X131">
        <v>301.77999999999997</v>
      </c>
      <c r="Y131" t="s">
        <v>56</v>
      </c>
      <c r="Z131">
        <v>11017.53</v>
      </c>
      <c r="AA131">
        <v>3780.7800000000007</v>
      </c>
    </row>
    <row r="132" spans="1:27" x14ac:dyDescent="0.3">
      <c r="A132" t="s">
        <v>461</v>
      </c>
      <c r="B132" s="1">
        <v>45259</v>
      </c>
      <c r="C132" t="s">
        <v>318</v>
      </c>
      <c r="D132" t="s">
        <v>302</v>
      </c>
      <c r="E132">
        <v>1</v>
      </c>
      <c r="F132" t="s">
        <v>90</v>
      </c>
      <c r="G132">
        <v>0</v>
      </c>
      <c r="H132" t="s">
        <v>319</v>
      </c>
      <c r="I132" t="s">
        <v>30</v>
      </c>
      <c r="J132">
        <v>41</v>
      </c>
      <c r="K132" t="s">
        <v>53</v>
      </c>
      <c r="L132" t="s">
        <v>81</v>
      </c>
      <c r="M132" s="1">
        <v>45379</v>
      </c>
      <c r="N132" t="s">
        <v>44</v>
      </c>
      <c r="O132" t="s">
        <v>304</v>
      </c>
      <c r="P132" t="s">
        <v>68</v>
      </c>
      <c r="Q132" t="s">
        <v>120</v>
      </c>
      <c r="R132">
        <v>1858.72</v>
      </c>
      <c r="S132">
        <v>2175.88</v>
      </c>
      <c r="T132">
        <v>272</v>
      </c>
      <c r="U132">
        <v>4945.3599999999997</v>
      </c>
      <c r="V132">
        <v>827.37</v>
      </c>
      <c r="W132">
        <v>4117.99</v>
      </c>
      <c r="X132">
        <v>4670.38</v>
      </c>
      <c r="Y132" t="s">
        <v>56</v>
      </c>
      <c r="Z132">
        <v>2175.88</v>
      </c>
      <c r="AA132">
        <v>317.16000000000008</v>
      </c>
    </row>
    <row r="133" spans="1:27" x14ac:dyDescent="0.3">
      <c r="A133" t="s">
        <v>462</v>
      </c>
      <c r="B133" s="1">
        <v>44941</v>
      </c>
      <c r="C133" t="s">
        <v>463</v>
      </c>
      <c r="D133" t="s">
        <v>408</v>
      </c>
      <c r="E133">
        <v>5</v>
      </c>
      <c r="F133" t="s">
        <v>28</v>
      </c>
      <c r="G133">
        <v>25</v>
      </c>
      <c r="H133" t="s">
        <v>464</v>
      </c>
      <c r="I133" t="s">
        <v>30</v>
      </c>
      <c r="J133">
        <v>25</v>
      </c>
      <c r="K133" t="s">
        <v>42</v>
      </c>
      <c r="L133" t="s">
        <v>32</v>
      </c>
      <c r="M133" s="1">
        <v>45251</v>
      </c>
      <c r="N133" t="s">
        <v>44</v>
      </c>
      <c r="O133" t="s">
        <v>410</v>
      </c>
      <c r="P133" t="s">
        <v>68</v>
      </c>
      <c r="Q133" t="s">
        <v>46</v>
      </c>
      <c r="R133">
        <v>2025.88</v>
      </c>
      <c r="S133">
        <v>2513.29</v>
      </c>
      <c r="T133">
        <v>67</v>
      </c>
      <c r="U133">
        <v>7545.94</v>
      </c>
      <c r="V133">
        <v>132.44999999999999</v>
      </c>
      <c r="W133">
        <v>7413.49</v>
      </c>
      <c r="X133">
        <v>1815.65</v>
      </c>
      <c r="Y133" t="s">
        <v>83</v>
      </c>
      <c r="Z133">
        <v>12566.45</v>
      </c>
      <c r="AA133">
        <v>2437.0499999999993</v>
      </c>
    </row>
    <row r="134" spans="1:27" x14ac:dyDescent="0.3">
      <c r="A134" t="s">
        <v>465</v>
      </c>
      <c r="B134" s="1">
        <v>45056</v>
      </c>
      <c r="C134" t="s">
        <v>275</v>
      </c>
      <c r="D134" t="s">
        <v>375</v>
      </c>
      <c r="E134">
        <v>4</v>
      </c>
      <c r="F134" t="s">
        <v>51</v>
      </c>
      <c r="G134">
        <v>17</v>
      </c>
      <c r="H134" t="s">
        <v>277</v>
      </c>
      <c r="I134" t="s">
        <v>30</v>
      </c>
      <c r="J134">
        <v>27</v>
      </c>
      <c r="K134" t="s">
        <v>42</v>
      </c>
      <c r="L134" t="s">
        <v>53</v>
      </c>
      <c r="M134" s="1">
        <v>45434</v>
      </c>
      <c r="N134" t="s">
        <v>54</v>
      </c>
      <c r="O134" t="s">
        <v>377</v>
      </c>
      <c r="P134" t="s">
        <v>94</v>
      </c>
      <c r="Q134" t="s">
        <v>36</v>
      </c>
      <c r="R134">
        <v>2849.7</v>
      </c>
      <c r="S134">
        <v>3862</v>
      </c>
      <c r="T134">
        <v>78</v>
      </c>
      <c r="U134">
        <v>12339.21</v>
      </c>
      <c r="V134">
        <v>1041.58</v>
      </c>
      <c r="W134">
        <v>11297.63</v>
      </c>
      <c r="X134">
        <v>401.7</v>
      </c>
      <c r="Y134" t="s">
        <v>47</v>
      </c>
      <c r="Z134">
        <v>15448</v>
      </c>
      <c r="AA134">
        <v>4049.2000000000007</v>
      </c>
    </row>
    <row r="135" spans="1:27" x14ac:dyDescent="0.3">
      <c r="A135" t="s">
        <v>466</v>
      </c>
      <c r="B135" s="1">
        <v>45129</v>
      </c>
      <c r="C135" t="s">
        <v>467</v>
      </c>
      <c r="D135" t="s">
        <v>290</v>
      </c>
      <c r="E135">
        <v>4</v>
      </c>
      <c r="F135" t="s">
        <v>78</v>
      </c>
      <c r="G135">
        <v>21</v>
      </c>
      <c r="H135" t="s">
        <v>468</v>
      </c>
      <c r="I135" t="s">
        <v>30</v>
      </c>
      <c r="J135">
        <v>46</v>
      </c>
      <c r="K135" t="s">
        <v>155</v>
      </c>
      <c r="L135" t="s">
        <v>108</v>
      </c>
      <c r="M135" s="1">
        <v>45233</v>
      </c>
      <c r="N135" t="s">
        <v>44</v>
      </c>
      <c r="O135" t="s">
        <v>291</v>
      </c>
      <c r="P135" t="s">
        <v>68</v>
      </c>
      <c r="Q135" t="s">
        <v>111</v>
      </c>
      <c r="R135">
        <v>2649.82</v>
      </c>
      <c r="S135">
        <v>3522.16</v>
      </c>
      <c r="T135">
        <v>205</v>
      </c>
      <c r="U135">
        <v>16785.560000000001</v>
      </c>
      <c r="V135">
        <v>2161.85</v>
      </c>
      <c r="W135">
        <v>14623.71</v>
      </c>
      <c r="X135">
        <v>4189.46</v>
      </c>
      <c r="Y135" t="s">
        <v>56</v>
      </c>
      <c r="Z135">
        <v>14088.64</v>
      </c>
      <c r="AA135">
        <v>3489.3599999999988</v>
      </c>
    </row>
    <row r="136" spans="1:27" x14ac:dyDescent="0.3">
      <c r="A136" t="s">
        <v>469</v>
      </c>
      <c r="B136" s="1">
        <v>45042</v>
      </c>
      <c r="C136" t="s">
        <v>470</v>
      </c>
      <c r="D136" t="s">
        <v>471</v>
      </c>
      <c r="E136">
        <v>3</v>
      </c>
      <c r="F136" t="s">
        <v>51</v>
      </c>
      <c r="G136">
        <v>19</v>
      </c>
      <c r="H136" t="s">
        <v>472</v>
      </c>
      <c r="I136" t="s">
        <v>30</v>
      </c>
      <c r="J136">
        <v>21</v>
      </c>
      <c r="K136" t="s">
        <v>73</v>
      </c>
      <c r="L136" t="s">
        <v>66</v>
      </c>
      <c r="M136" s="1">
        <v>45489</v>
      </c>
      <c r="N136" t="s">
        <v>33</v>
      </c>
      <c r="O136" t="s">
        <v>473</v>
      </c>
      <c r="P136" t="s">
        <v>68</v>
      </c>
      <c r="Q136" t="s">
        <v>120</v>
      </c>
      <c r="R136">
        <v>1492.62</v>
      </c>
      <c r="S136">
        <v>2285.1999999999998</v>
      </c>
      <c r="T136">
        <v>106</v>
      </c>
      <c r="U136">
        <v>15744.07</v>
      </c>
      <c r="V136">
        <v>740.93</v>
      </c>
      <c r="W136">
        <v>15003.14</v>
      </c>
      <c r="X136">
        <v>1801.97</v>
      </c>
      <c r="Y136" t="s">
        <v>37</v>
      </c>
      <c r="Z136">
        <v>6855.5999999999995</v>
      </c>
      <c r="AA136">
        <v>2377.7399999999998</v>
      </c>
    </row>
    <row r="137" spans="1:27" x14ac:dyDescent="0.3">
      <c r="A137" t="s">
        <v>474</v>
      </c>
      <c r="B137" s="1">
        <v>45159</v>
      </c>
      <c r="C137" t="s">
        <v>475</v>
      </c>
      <c r="D137" t="s">
        <v>259</v>
      </c>
      <c r="E137">
        <v>2</v>
      </c>
      <c r="F137" t="s">
        <v>90</v>
      </c>
      <c r="G137">
        <v>17</v>
      </c>
      <c r="H137" t="s">
        <v>476</v>
      </c>
      <c r="I137" t="s">
        <v>80</v>
      </c>
      <c r="J137">
        <v>41</v>
      </c>
      <c r="K137" t="s">
        <v>60</v>
      </c>
      <c r="L137" t="s">
        <v>53</v>
      </c>
      <c r="M137" s="1">
        <v>45192</v>
      </c>
      <c r="N137" t="s">
        <v>44</v>
      </c>
      <c r="O137" t="s">
        <v>261</v>
      </c>
      <c r="P137" t="s">
        <v>94</v>
      </c>
      <c r="Q137" t="s">
        <v>111</v>
      </c>
      <c r="R137">
        <v>4426.51</v>
      </c>
      <c r="S137">
        <v>5123.7299999999996</v>
      </c>
      <c r="T137">
        <v>298</v>
      </c>
      <c r="U137">
        <v>17679.11</v>
      </c>
      <c r="V137">
        <v>2020.39</v>
      </c>
      <c r="W137">
        <v>15658.72</v>
      </c>
      <c r="X137">
        <v>904.55</v>
      </c>
      <c r="Y137" t="s">
        <v>56</v>
      </c>
      <c r="Z137">
        <v>10247.459999999999</v>
      </c>
      <c r="AA137">
        <v>1394.4399999999987</v>
      </c>
    </row>
    <row r="138" spans="1:27" x14ac:dyDescent="0.3">
      <c r="A138" t="s">
        <v>477</v>
      </c>
      <c r="B138" s="1">
        <v>45277</v>
      </c>
      <c r="C138" t="s">
        <v>478</v>
      </c>
      <c r="D138" t="s">
        <v>89</v>
      </c>
      <c r="E138">
        <v>2</v>
      </c>
      <c r="F138" t="s">
        <v>90</v>
      </c>
      <c r="G138">
        <v>0</v>
      </c>
      <c r="H138" t="s">
        <v>479</v>
      </c>
      <c r="I138" t="s">
        <v>80</v>
      </c>
      <c r="J138">
        <v>56</v>
      </c>
      <c r="K138" t="s">
        <v>73</v>
      </c>
      <c r="L138" t="s">
        <v>66</v>
      </c>
      <c r="M138" s="1">
        <v>45186</v>
      </c>
      <c r="N138" t="s">
        <v>54</v>
      </c>
      <c r="O138" t="s">
        <v>93</v>
      </c>
      <c r="P138" t="s">
        <v>94</v>
      </c>
      <c r="Q138" t="s">
        <v>46</v>
      </c>
      <c r="R138">
        <v>1290.44</v>
      </c>
      <c r="S138">
        <v>1756.94</v>
      </c>
      <c r="T138">
        <v>226</v>
      </c>
      <c r="U138">
        <v>7025.31</v>
      </c>
      <c r="V138">
        <v>1338.84</v>
      </c>
      <c r="W138">
        <v>5686.47</v>
      </c>
      <c r="X138">
        <v>2862.84</v>
      </c>
      <c r="Y138" t="s">
        <v>47</v>
      </c>
      <c r="Z138">
        <v>3513.88</v>
      </c>
      <c r="AA138">
        <v>933</v>
      </c>
    </row>
    <row r="139" spans="1:27" x14ac:dyDescent="0.3">
      <c r="A139" t="s">
        <v>480</v>
      </c>
      <c r="B139" s="1">
        <v>45157</v>
      </c>
      <c r="C139" t="s">
        <v>481</v>
      </c>
      <c r="D139" t="s">
        <v>354</v>
      </c>
      <c r="E139">
        <v>6</v>
      </c>
      <c r="F139" t="s">
        <v>28</v>
      </c>
      <c r="G139">
        <v>17</v>
      </c>
      <c r="H139" t="s">
        <v>482</v>
      </c>
      <c r="I139" t="s">
        <v>80</v>
      </c>
      <c r="J139">
        <v>25</v>
      </c>
      <c r="K139" t="s">
        <v>53</v>
      </c>
      <c r="L139" t="s">
        <v>108</v>
      </c>
      <c r="M139" s="1">
        <v>45315</v>
      </c>
      <c r="N139" t="s">
        <v>33</v>
      </c>
      <c r="O139" t="s">
        <v>356</v>
      </c>
      <c r="P139" t="s">
        <v>68</v>
      </c>
      <c r="Q139" t="s">
        <v>120</v>
      </c>
      <c r="R139">
        <v>3959.29</v>
      </c>
      <c r="S139">
        <v>5340.73</v>
      </c>
      <c r="T139">
        <v>91</v>
      </c>
      <c r="U139">
        <v>9531.16</v>
      </c>
      <c r="V139">
        <v>1644.06</v>
      </c>
      <c r="W139">
        <v>7887.1</v>
      </c>
      <c r="X139">
        <v>3398.6</v>
      </c>
      <c r="Y139" t="s">
        <v>47</v>
      </c>
      <c r="Z139">
        <v>32044.379999999997</v>
      </c>
      <c r="AA139">
        <v>8288.6399999999976</v>
      </c>
    </row>
    <row r="140" spans="1:27" x14ac:dyDescent="0.3">
      <c r="A140" t="s">
        <v>483</v>
      </c>
      <c r="B140" s="1">
        <v>45031</v>
      </c>
      <c r="C140" t="s">
        <v>484</v>
      </c>
      <c r="D140" t="s">
        <v>98</v>
      </c>
      <c r="E140">
        <v>5</v>
      </c>
      <c r="F140" t="s">
        <v>51</v>
      </c>
      <c r="G140">
        <v>15</v>
      </c>
      <c r="H140" t="s">
        <v>485</v>
      </c>
      <c r="I140" t="s">
        <v>80</v>
      </c>
      <c r="J140">
        <v>21</v>
      </c>
      <c r="K140" t="s">
        <v>73</v>
      </c>
      <c r="L140" t="s">
        <v>108</v>
      </c>
      <c r="M140" s="1">
        <v>45405</v>
      </c>
      <c r="N140" t="s">
        <v>54</v>
      </c>
      <c r="O140" t="s">
        <v>100</v>
      </c>
      <c r="P140" t="s">
        <v>94</v>
      </c>
      <c r="Q140" t="s">
        <v>36</v>
      </c>
      <c r="R140">
        <v>4225.4799999999996</v>
      </c>
      <c r="S140">
        <v>6100.15</v>
      </c>
      <c r="T140">
        <v>279</v>
      </c>
      <c r="U140">
        <v>12889.5</v>
      </c>
      <c r="V140">
        <v>2234.7600000000002</v>
      </c>
      <c r="W140">
        <v>10654.74</v>
      </c>
      <c r="X140">
        <v>3970.79</v>
      </c>
      <c r="Y140" t="s">
        <v>56</v>
      </c>
      <c r="Z140">
        <v>30500.75</v>
      </c>
      <c r="AA140">
        <v>9373.35</v>
      </c>
    </row>
    <row r="141" spans="1:27" x14ac:dyDescent="0.3">
      <c r="A141" t="s">
        <v>486</v>
      </c>
      <c r="B141" s="1">
        <v>44933</v>
      </c>
      <c r="C141" t="s">
        <v>487</v>
      </c>
      <c r="D141" t="s">
        <v>193</v>
      </c>
      <c r="E141">
        <v>1</v>
      </c>
      <c r="F141" t="s">
        <v>51</v>
      </c>
      <c r="G141">
        <v>2</v>
      </c>
      <c r="H141" t="s">
        <v>488</v>
      </c>
      <c r="I141" t="s">
        <v>30</v>
      </c>
      <c r="J141">
        <v>41</v>
      </c>
      <c r="K141" t="s">
        <v>155</v>
      </c>
      <c r="L141" t="s">
        <v>53</v>
      </c>
      <c r="M141" s="1">
        <v>44861</v>
      </c>
      <c r="N141" t="s">
        <v>44</v>
      </c>
      <c r="O141" t="s">
        <v>194</v>
      </c>
      <c r="P141" t="s">
        <v>94</v>
      </c>
      <c r="Q141" t="s">
        <v>120</v>
      </c>
      <c r="R141">
        <v>1267.6600000000001</v>
      </c>
      <c r="S141">
        <v>1481.07</v>
      </c>
      <c r="T141">
        <v>99</v>
      </c>
      <c r="U141">
        <v>4283.8599999999997</v>
      </c>
      <c r="V141">
        <v>551.24</v>
      </c>
      <c r="W141">
        <v>3732.62</v>
      </c>
      <c r="X141">
        <v>523.27</v>
      </c>
      <c r="Y141" t="s">
        <v>37</v>
      </c>
      <c r="Z141">
        <v>1481.07</v>
      </c>
      <c r="AA141">
        <v>213.40999999999985</v>
      </c>
    </row>
    <row r="142" spans="1:27" x14ac:dyDescent="0.3">
      <c r="A142" t="s">
        <v>489</v>
      </c>
      <c r="B142" s="1">
        <v>45263</v>
      </c>
      <c r="C142" t="s">
        <v>484</v>
      </c>
      <c r="D142" t="s">
        <v>236</v>
      </c>
      <c r="E142">
        <v>6</v>
      </c>
      <c r="F142" t="s">
        <v>28</v>
      </c>
      <c r="G142">
        <v>10</v>
      </c>
      <c r="H142" t="s">
        <v>485</v>
      </c>
      <c r="I142" t="s">
        <v>80</v>
      </c>
      <c r="J142">
        <v>21</v>
      </c>
      <c r="K142" t="s">
        <v>73</v>
      </c>
      <c r="L142" t="s">
        <v>108</v>
      </c>
      <c r="M142" s="1">
        <v>45405</v>
      </c>
      <c r="N142" t="s">
        <v>54</v>
      </c>
      <c r="O142" t="s">
        <v>238</v>
      </c>
      <c r="P142" t="s">
        <v>68</v>
      </c>
      <c r="Q142" t="s">
        <v>120</v>
      </c>
      <c r="R142">
        <v>3957.37</v>
      </c>
      <c r="S142">
        <v>5045.3500000000004</v>
      </c>
      <c r="T142">
        <v>227</v>
      </c>
      <c r="U142">
        <v>13966.53</v>
      </c>
      <c r="V142">
        <v>438.57</v>
      </c>
      <c r="W142">
        <v>13527.96</v>
      </c>
      <c r="X142">
        <v>3828.56</v>
      </c>
      <c r="Y142" t="s">
        <v>83</v>
      </c>
      <c r="Z142">
        <v>30272.100000000002</v>
      </c>
      <c r="AA142">
        <v>6527.8800000000028</v>
      </c>
    </row>
    <row r="143" spans="1:27" x14ac:dyDescent="0.3">
      <c r="A143" t="s">
        <v>490</v>
      </c>
      <c r="B143" s="1">
        <v>45245</v>
      </c>
      <c r="C143" t="s">
        <v>318</v>
      </c>
      <c r="D143" t="s">
        <v>125</v>
      </c>
      <c r="E143">
        <v>5</v>
      </c>
      <c r="F143" t="s">
        <v>28</v>
      </c>
      <c r="G143">
        <v>16</v>
      </c>
      <c r="H143" t="s">
        <v>319</v>
      </c>
      <c r="I143" t="s">
        <v>30</v>
      </c>
      <c r="J143">
        <v>41</v>
      </c>
      <c r="K143" t="s">
        <v>53</v>
      </c>
      <c r="L143" t="s">
        <v>81</v>
      </c>
      <c r="M143" s="1">
        <v>45379</v>
      </c>
      <c r="N143" t="s">
        <v>44</v>
      </c>
      <c r="O143" t="s">
        <v>126</v>
      </c>
      <c r="P143" t="s">
        <v>68</v>
      </c>
      <c r="Q143" t="s">
        <v>120</v>
      </c>
      <c r="R143">
        <v>4301.32</v>
      </c>
      <c r="S143">
        <v>6870.07</v>
      </c>
      <c r="T143">
        <v>243</v>
      </c>
      <c r="U143">
        <v>10437.67</v>
      </c>
      <c r="V143">
        <v>998.15</v>
      </c>
      <c r="W143">
        <v>9439.52</v>
      </c>
      <c r="X143">
        <v>3937.06</v>
      </c>
      <c r="Y143" t="s">
        <v>56</v>
      </c>
      <c r="Z143">
        <v>34350.35</v>
      </c>
      <c r="AA143">
        <v>12843.75</v>
      </c>
    </row>
    <row r="144" spans="1:27" x14ac:dyDescent="0.3">
      <c r="A144" t="s">
        <v>491</v>
      </c>
      <c r="B144" s="1">
        <v>45154</v>
      </c>
      <c r="C144" t="s">
        <v>492</v>
      </c>
      <c r="D144" t="s">
        <v>106</v>
      </c>
      <c r="E144">
        <v>4</v>
      </c>
      <c r="F144" t="s">
        <v>78</v>
      </c>
      <c r="G144">
        <v>2</v>
      </c>
      <c r="H144" t="s">
        <v>493</v>
      </c>
      <c r="I144" t="s">
        <v>30</v>
      </c>
      <c r="J144">
        <v>44</v>
      </c>
      <c r="K144" t="s">
        <v>60</v>
      </c>
      <c r="L144" t="s">
        <v>53</v>
      </c>
      <c r="M144" s="1">
        <v>44792</v>
      </c>
      <c r="N144" t="s">
        <v>54</v>
      </c>
      <c r="O144" t="s">
        <v>109</v>
      </c>
      <c r="P144" t="s">
        <v>110</v>
      </c>
      <c r="Q144" t="s">
        <v>111</v>
      </c>
      <c r="R144">
        <v>1622.17</v>
      </c>
      <c r="S144">
        <v>1993.72</v>
      </c>
      <c r="T144">
        <v>262</v>
      </c>
      <c r="U144">
        <v>13026.09</v>
      </c>
      <c r="V144">
        <v>1345.11</v>
      </c>
      <c r="W144">
        <v>11680.98</v>
      </c>
      <c r="X144">
        <v>4367.2700000000004</v>
      </c>
      <c r="Y144" t="s">
        <v>47</v>
      </c>
      <c r="Z144">
        <v>7974.88</v>
      </c>
      <c r="AA144">
        <v>1486.1999999999998</v>
      </c>
    </row>
    <row r="145" spans="1:27" x14ac:dyDescent="0.3">
      <c r="A145" t="s">
        <v>494</v>
      </c>
      <c r="B145" s="1">
        <v>45013</v>
      </c>
      <c r="C145" t="s">
        <v>495</v>
      </c>
      <c r="D145" t="s">
        <v>246</v>
      </c>
      <c r="E145">
        <v>5</v>
      </c>
      <c r="F145" t="s">
        <v>78</v>
      </c>
      <c r="G145">
        <v>4</v>
      </c>
      <c r="H145" t="s">
        <v>496</v>
      </c>
      <c r="I145" t="s">
        <v>30</v>
      </c>
      <c r="J145">
        <v>30</v>
      </c>
      <c r="K145" t="s">
        <v>65</v>
      </c>
      <c r="L145" t="s">
        <v>53</v>
      </c>
      <c r="M145" s="1">
        <v>45413</v>
      </c>
      <c r="N145" t="s">
        <v>33</v>
      </c>
      <c r="O145" t="s">
        <v>247</v>
      </c>
      <c r="P145" t="s">
        <v>110</v>
      </c>
      <c r="Q145" t="s">
        <v>120</v>
      </c>
      <c r="R145">
        <v>4133.24</v>
      </c>
      <c r="S145">
        <v>6302.13</v>
      </c>
      <c r="T145">
        <v>299</v>
      </c>
      <c r="U145">
        <v>9017.59</v>
      </c>
      <c r="V145">
        <v>1397.4</v>
      </c>
      <c r="W145">
        <v>7620.19</v>
      </c>
      <c r="X145">
        <v>3725.85</v>
      </c>
      <c r="Y145" t="s">
        <v>56</v>
      </c>
      <c r="Z145">
        <v>31510.65</v>
      </c>
      <c r="AA145">
        <v>10844.45</v>
      </c>
    </row>
    <row r="146" spans="1:27" x14ac:dyDescent="0.3">
      <c r="A146" t="s">
        <v>497</v>
      </c>
      <c r="B146" s="1">
        <v>44973</v>
      </c>
      <c r="C146" t="s">
        <v>498</v>
      </c>
      <c r="D146" t="s">
        <v>448</v>
      </c>
      <c r="E146">
        <v>5</v>
      </c>
      <c r="F146" t="s">
        <v>51</v>
      </c>
      <c r="G146">
        <v>20</v>
      </c>
      <c r="H146" t="s">
        <v>499</v>
      </c>
      <c r="I146" t="s">
        <v>30</v>
      </c>
      <c r="J146">
        <v>45</v>
      </c>
      <c r="K146" t="s">
        <v>73</v>
      </c>
      <c r="L146" t="s">
        <v>53</v>
      </c>
      <c r="M146" s="1">
        <v>44639</v>
      </c>
      <c r="N146" t="s">
        <v>33</v>
      </c>
      <c r="O146" t="s">
        <v>449</v>
      </c>
      <c r="P146" t="s">
        <v>110</v>
      </c>
      <c r="Q146" t="s">
        <v>120</v>
      </c>
      <c r="R146">
        <v>4836.3999999999996</v>
      </c>
      <c r="S146">
        <v>7004.05</v>
      </c>
      <c r="T146">
        <v>98</v>
      </c>
      <c r="U146">
        <v>5404.13</v>
      </c>
      <c r="V146">
        <v>1083.51</v>
      </c>
      <c r="W146">
        <v>4320.62</v>
      </c>
      <c r="X146">
        <v>3925.09</v>
      </c>
      <c r="Y146" t="s">
        <v>83</v>
      </c>
      <c r="Z146">
        <v>35020.25</v>
      </c>
      <c r="AA146">
        <v>10838.250000000004</v>
      </c>
    </row>
    <row r="147" spans="1:27" x14ac:dyDescent="0.3">
      <c r="A147" t="s">
        <v>500</v>
      </c>
      <c r="B147" s="1">
        <v>45070</v>
      </c>
      <c r="C147" t="s">
        <v>501</v>
      </c>
      <c r="D147" t="s">
        <v>272</v>
      </c>
      <c r="E147">
        <v>2</v>
      </c>
      <c r="F147" t="s">
        <v>90</v>
      </c>
      <c r="G147">
        <v>11</v>
      </c>
      <c r="H147" t="s">
        <v>502</v>
      </c>
      <c r="I147" t="s">
        <v>80</v>
      </c>
      <c r="J147">
        <v>34</v>
      </c>
      <c r="K147" t="s">
        <v>92</v>
      </c>
      <c r="L147" t="s">
        <v>43</v>
      </c>
      <c r="M147" s="1">
        <v>45698</v>
      </c>
      <c r="N147" t="s">
        <v>44</v>
      </c>
      <c r="O147" t="s">
        <v>273</v>
      </c>
      <c r="P147" t="s">
        <v>68</v>
      </c>
      <c r="Q147" t="s">
        <v>111</v>
      </c>
      <c r="R147">
        <v>1137.26</v>
      </c>
      <c r="S147">
        <v>1649.58</v>
      </c>
      <c r="T147">
        <v>243</v>
      </c>
      <c r="U147">
        <v>14580.24</v>
      </c>
      <c r="V147">
        <v>1773.45</v>
      </c>
      <c r="W147">
        <v>12806.79</v>
      </c>
      <c r="X147">
        <v>1343.87</v>
      </c>
      <c r="Y147" t="s">
        <v>47</v>
      </c>
      <c r="Z147">
        <v>3299.16</v>
      </c>
      <c r="AA147">
        <v>1024.6399999999999</v>
      </c>
    </row>
    <row r="148" spans="1:27" x14ac:dyDescent="0.3">
      <c r="A148" t="s">
        <v>503</v>
      </c>
      <c r="B148" s="1">
        <v>44957</v>
      </c>
      <c r="C148" t="s">
        <v>475</v>
      </c>
      <c r="D148" t="s">
        <v>106</v>
      </c>
      <c r="E148">
        <v>3</v>
      </c>
      <c r="F148" t="s">
        <v>90</v>
      </c>
      <c r="G148">
        <v>4</v>
      </c>
      <c r="H148" t="s">
        <v>476</v>
      </c>
      <c r="I148" t="s">
        <v>80</v>
      </c>
      <c r="J148">
        <v>41</v>
      </c>
      <c r="K148" t="s">
        <v>60</v>
      </c>
      <c r="L148" t="s">
        <v>53</v>
      </c>
      <c r="M148" s="1">
        <v>45192</v>
      </c>
      <c r="N148" t="s">
        <v>44</v>
      </c>
      <c r="O148" t="s">
        <v>109</v>
      </c>
      <c r="P148" t="s">
        <v>110</v>
      </c>
      <c r="Q148" t="s">
        <v>111</v>
      </c>
      <c r="R148">
        <v>1622.17</v>
      </c>
      <c r="S148">
        <v>1993.72</v>
      </c>
      <c r="T148">
        <v>262</v>
      </c>
      <c r="U148">
        <v>18715.36</v>
      </c>
      <c r="V148">
        <v>241.39</v>
      </c>
      <c r="W148">
        <v>18473.97</v>
      </c>
      <c r="X148">
        <v>3089.57</v>
      </c>
      <c r="Y148" t="s">
        <v>83</v>
      </c>
      <c r="Z148">
        <v>5981.16</v>
      </c>
      <c r="AA148">
        <v>1114.6499999999999</v>
      </c>
    </row>
    <row r="149" spans="1:27" x14ac:dyDescent="0.3">
      <c r="A149" t="s">
        <v>504</v>
      </c>
      <c r="B149" s="1">
        <v>45119</v>
      </c>
      <c r="C149" t="s">
        <v>505</v>
      </c>
      <c r="D149" t="s">
        <v>122</v>
      </c>
      <c r="E149">
        <v>3</v>
      </c>
      <c r="F149" t="s">
        <v>51</v>
      </c>
      <c r="G149">
        <v>15</v>
      </c>
      <c r="H149" t="s">
        <v>506</v>
      </c>
      <c r="I149" t="s">
        <v>80</v>
      </c>
      <c r="J149">
        <v>42</v>
      </c>
      <c r="K149" t="s">
        <v>65</v>
      </c>
      <c r="L149" t="s">
        <v>66</v>
      </c>
      <c r="M149" s="1">
        <v>45509</v>
      </c>
      <c r="N149" t="s">
        <v>33</v>
      </c>
      <c r="O149" t="s">
        <v>123</v>
      </c>
      <c r="P149" t="s">
        <v>68</v>
      </c>
      <c r="Q149" t="s">
        <v>46</v>
      </c>
      <c r="R149">
        <v>1480.33</v>
      </c>
      <c r="S149">
        <v>1709.3</v>
      </c>
      <c r="T149">
        <v>229</v>
      </c>
      <c r="U149">
        <v>13612.18</v>
      </c>
      <c r="V149">
        <v>2177.0700000000002</v>
      </c>
      <c r="W149">
        <v>11435.11</v>
      </c>
      <c r="X149">
        <v>803.5</v>
      </c>
      <c r="Y149" t="s">
        <v>56</v>
      </c>
      <c r="Z149">
        <v>5127.8999999999996</v>
      </c>
      <c r="AA149">
        <v>686.91000000000008</v>
      </c>
    </row>
    <row r="150" spans="1:27" x14ac:dyDescent="0.3">
      <c r="A150" t="s">
        <v>507</v>
      </c>
      <c r="B150" s="1">
        <v>45034</v>
      </c>
      <c r="C150" t="s">
        <v>326</v>
      </c>
      <c r="D150" t="s">
        <v>428</v>
      </c>
      <c r="E150">
        <v>1</v>
      </c>
      <c r="F150" t="s">
        <v>28</v>
      </c>
      <c r="G150">
        <v>2</v>
      </c>
      <c r="H150" t="s">
        <v>327</v>
      </c>
      <c r="I150" t="s">
        <v>80</v>
      </c>
      <c r="J150">
        <v>56</v>
      </c>
      <c r="K150" t="s">
        <v>42</v>
      </c>
      <c r="L150" t="s">
        <v>53</v>
      </c>
      <c r="M150" s="1">
        <v>45103</v>
      </c>
      <c r="N150" t="s">
        <v>54</v>
      </c>
      <c r="O150" t="s">
        <v>429</v>
      </c>
      <c r="P150" t="s">
        <v>110</v>
      </c>
      <c r="Q150" t="s">
        <v>46</v>
      </c>
      <c r="R150">
        <v>929.24</v>
      </c>
      <c r="S150">
        <v>1350.29</v>
      </c>
      <c r="T150">
        <v>22</v>
      </c>
      <c r="U150">
        <v>6535.28</v>
      </c>
      <c r="V150">
        <v>1273.07</v>
      </c>
      <c r="W150">
        <v>5262.21</v>
      </c>
      <c r="X150">
        <v>4149.1499999999996</v>
      </c>
      <c r="Y150" t="s">
        <v>47</v>
      </c>
      <c r="Z150">
        <v>1350.29</v>
      </c>
      <c r="AA150">
        <v>421.04999999999995</v>
      </c>
    </row>
    <row r="151" spans="1:27" x14ac:dyDescent="0.3">
      <c r="A151" t="s">
        <v>508</v>
      </c>
      <c r="B151" s="1">
        <v>45128</v>
      </c>
      <c r="C151" t="s">
        <v>509</v>
      </c>
      <c r="D151" t="s">
        <v>510</v>
      </c>
      <c r="E151">
        <v>5</v>
      </c>
      <c r="F151" t="s">
        <v>51</v>
      </c>
      <c r="G151">
        <v>1</v>
      </c>
      <c r="H151" t="s">
        <v>511</v>
      </c>
      <c r="I151" t="s">
        <v>80</v>
      </c>
      <c r="J151">
        <v>46</v>
      </c>
      <c r="K151" t="s">
        <v>60</v>
      </c>
      <c r="L151" t="s">
        <v>43</v>
      </c>
      <c r="M151" s="1">
        <v>44961</v>
      </c>
      <c r="N151" t="s">
        <v>54</v>
      </c>
      <c r="O151" t="s">
        <v>512</v>
      </c>
      <c r="P151" t="s">
        <v>110</v>
      </c>
      <c r="Q151" t="s">
        <v>36</v>
      </c>
      <c r="R151">
        <v>952.01</v>
      </c>
      <c r="S151">
        <v>1107.5</v>
      </c>
      <c r="T151">
        <v>162</v>
      </c>
      <c r="U151">
        <v>4996.9799999999996</v>
      </c>
      <c r="V151">
        <v>1058.67</v>
      </c>
      <c r="W151">
        <v>3938.31</v>
      </c>
      <c r="X151">
        <v>487.01</v>
      </c>
      <c r="Y151" t="s">
        <v>83</v>
      </c>
      <c r="Z151">
        <v>5537.5</v>
      </c>
      <c r="AA151">
        <v>777.45</v>
      </c>
    </row>
    <row r="152" spans="1:27" x14ac:dyDescent="0.3">
      <c r="A152" t="s">
        <v>513</v>
      </c>
      <c r="B152" s="1">
        <v>45065</v>
      </c>
      <c r="C152" t="s">
        <v>368</v>
      </c>
      <c r="D152" t="s">
        <v>102</v>
      </c>
      <c r="E152">
        <v>2</v>
      </c>
      <c r="F152" t="s">
        <v>28</v>
      </c>
      <c r="G152">
        <v>19</v>
      </c>
      <c r="H152" t="s">
        <v>369</v>
      </c>
      <c r="I152" t="s">
        <v>80</v>
      </c>
      <c r="J152">
        <v>30</v>
      </c>
      <c r="K152" t="s">
        <v>73</v>
      </c>
      <c r="L152" t="s">
        <v>108</v>
      </c>
      <c r="M152" s="1">
        <v>44835</v>
      </c>
      <c r="N152" t="s">
        <v>54</v>
      </c>
      <c r="O152" t="s">
        <v>103</v>
      </c>
      <c r="P152" t="s">
        <v>94</v>
      </c>
      <c r="Q152" t="s">
        <v>46</v>
      </c>
      <c r="R152">
        <v>4398.43</v>
      </c>
      <c r="S152">
        <v>6683.28</v>
      </c>
      <c r="T152">
        <v>152</v>
      </c>
      <c r="U152">
        <v>900.3</v>
      </c>
      <c r="V152">
        <v>120.85</v>
      </c>
      <c r="W152">
        <v>779.45</v>
      </c>
      <c r="X152">
        <v>4781.54</v>
      </c>
      <c r="Y152" t="s">
        <v>37</v>
      </c>
      <c r="Z152">
        <v>13366.56</v>
      </c>
      <c r="AA152">
        <v>4569.6999999999989</v>
      </c>
    </row>
    <row r="153" spans="1:27" x14ac:dyDescent="0.3">
      <c r="A153" t="s">
        <v>514</v>
      </c>
      <c r="B153" s="1">
        <v>45067</v>
      </c>
      <c r="C153" t="s">
        <v>515</v>
      </c>
      <c r="D153" t="s">
        <v>207</v>
      </c>
      <c r="E153">
        <v>2</v>
      </c>
      <c r="F153" t="s">
        <v>51</v>
      </c>
      <c r="G153">
        <v>3</v>
      </c>
      <c r="H153" t="s">
        <v>516</v>
      </c>
      <c r="I153" t="s">
        <v>30</v>
      </c>
      <c r="J153">
        <v>35</v>
      </c>
      <c r="K153" t="s">
        <v>31</v>
      </c>
      <c r="L153" t="s">
        <v>66</v>
      </c>
      <c r="M153" s="1">
        <v>44812</v>
      </c>
      <c r="N153" t="s">
        <v>33</v>
      </c>
      <c r="O153" t="s">
        <v>209</v>
      </c>
      <c r="P153" t="s">
        <v>35</v>
      </c>
      <c r="Q153" t="s">
        <v>46</v>
      </c>
      <c r="R153">
        <v>4764.59</v>
      </c>
      <c r="S153">
        <v>5703.68</v>
      </c>
      <c r="T153">
        <v>87</v>
      </c>
      <c r="U153">
        <v>12258.11</v>
      </c>
      <c r="V153">
        <v>2946.12</v>
      </c>
      <c r="W153">
        <v>9311.99</v>
      </c>
      <c r="X153">
        <v>2342.7199999999998</v>
      </c>
      <c r="Y153" t="s">
        <v>37</v>
      </c>
      <c r="Z153">
        <v>11407.36</v>
      </c>
      <c r="AA153">
        <v>1878.1800000000003</v>
      </c>
    </row>
    <row r="154" spans="1:27" x14ac:dyDescent="0.3">
      <c r="A154" t="s">
        <v>517</v>
      </c>
      <c r="B154" s="1">
        <v>45186</v>
      </c>
      <c r="C154" t="s">
        <v>518</v>
      </c>
      <c r="D154" t="s">
        <v>163</v>
      </c>
      <c r="E154">
        <v>4</v>
      </c>
      <c r="F154" t="s">
        <v>51</v>
      </c>
      <c r="G154">
        <v>1</v>
      </c>
      <c r="H154" t="s">
        <v>519</v>
      </c>
      <c r="I154" t="s">
        <v>30</v>
      </c>
      <c r="J154">
        <v>42</v>
      </c>
      <c r="K154" t="s">
        <v>155</v>
      </c>
      <c r="L154" t="s">
        <v>66</v>
      </c>
      <c r="M154" s="1">
        <v>44880</v>
      </c>
      <c r="N154" t="s">
        <v>54</v>
      </c>
      <c r="O154" t="s">
        <v>165</v>
      </c>
      <c r="P154" t="s">
        <v>94</v>
      </c>
      <c r="Q154" t="s">
        <v>120</v>
      </c>
      <c r="R154">
        <v>1733.92</v>
      </c>
      <c r="S154">
        <v>2099.92</v>
      </c>
      <c r="T154">
        <v>175</v>
      </c>
      <c r="U154">
        <v>11980.4</v>
      </c>
      <c r="V154">
        <v>1907.49</v>
      </c>
      <c r="W154">
        <v>10072.91</v>
      </c>
      <c r="X154">
        <v>3284.7</v>
      </c>
      <c r="Y154" t="s">
        <v>47</v>
      </c>
      <c r="Z154">
        <v>8399.68</v>
      </c>
      <c r="AA154">
        <v>1464</v>
      </c>
    </row>
    <row r="155" spans="1:27" x14ac:dyDescent="0.3">
      <c r="A155" t="s">
        <v>520</v>
      </c>
      <c r="B155" s="1">
        <v>44995</v>
      </c>
      <c r="C155" t="s">
        <v>518</v>
      </c>
      <c r="D155" t="s">
        <v>27</v>
      </c>
      <c r="E155">
        <v>2</v>
      </c>
      <c r="F155" t="s">
        <v>51</v>
      </c>
      <c r="G155">
        <v>12</v>
      </c>
      <c r="H155" t="s">
        <v>519</v>
      </c>
      <c r="I155" t="s">
        <v>30</v>
      </c>
      <c r="J155">
        <v>42</v>
      </c>
      <c r="K155" t="s">
        <v>155</v>
      </c>
      <c r="L155" t="s">
        <v>66</v>
      </c>
      <c r="M155" s="1">
        <v>44880</v>
      </c>
      <c r="N155" t="s">
        <v>54</v>
      </c>
      <c r="O155" t="s">
        <v>34</v>
      </c>
      <c r="P155" t="s">
        <v>35</v>
      </c>
      <c r="Q155" t="s">
        <v>36</v>
      </c>
      <c r="R155">
        <v>4318.8599999999997</v>
      </c>
      <c r="S155">
        <v>4880.6400000000003</v>
      </c>
      <c r="T155">
        <v>149</v>
      </c>
      <c r="U155">
        <v>5449.31</v>
      </c>
      <c r="V155">
        <v>990.91</v>
      </c>
      <c r="W155">
        <v>4458.3999999999996</v>
      </c>
      <c r="X155">
        <v>4798.16</v>
      </c>
      <c r="Y155" t="s">
        <v>83</v>
      </c>
      <c r="Z155">
        <v>9761.2800000000007</v>
      </c>
      <c r="AA155">
        <v>1123.5600000000013</v>
      </c>
    </row>
    <row r="156" spans="1:27" x14ac:dyDescent="0.3">
      <c r="A156" t="s">
        <v>521</v>
      </c>
      <c r="B156" s="1">
        <v>45055</v>
      </c>
      <c r="C156" t="s">
        <v>346</v>
      </c>
      <c r="D156" t="s">
        <v>290</v>
      </c>
      <c r="E156">
        <v>3</v>
      </c>
      <c r="F156" t="s">
        <v>28</v>
      </c>
      <c r="G156">
        <v>15</v>
      </c>
      <c r="H156" t="s">
        <v>347</v>
      </c>
      <c r="I156" t="s">
        <v>30</v>
      </c>
      <c r="J156">
        <v>23</v>
      </c>
      <c r="K156" t="s">
        <v>92</v>
      </c>
      <c r="L156" t="s">
        <v>81</v>
      </c>
      <c r="M156" s="1">
        <v>45595</v>
      </c>
      <c r="N156" t="s">
        <v>33</v>
      </c>
      <c r="O156" t="s">
        <v>291</v>
      </c>
      <c r="P156" t="s">
        <v>68</v>
      </c>
      <c r="Q156" t="s">
        <v>111</v>
      </c>
      <c r="R156">
        <v>2649.82</v>
      </c>
      <c r="S156">
        <v>3522.16</v>
      </c>
      <c r="T156">
        <v>205</v>
      </c>
      <c r="U156">
        <v>2442.87</v>
      </c>
      <c r="V156">
        <v>457.23</v>
      </c>
      <c r="W156">
        <v>1985.64</v>
      </c>
      <c r="X156">
        <v>2035.99</v>
      </c>
      <c r="Y156" t="s">
        <v>83</v>
      </c>
      <c r="Z156">
        <v>10566.48</v>
      </c>
      <c r="AA156">
        <v>2617.0199999999991</v>
      </c>
    </row>
    <row r="157" spans="1:27" x14ac:dyDescent="0.3">
      <c r="A157" t="s">
        <v>522</v>
      </c>
      <c r="B157" s="1">
        <v>45199</v>
      </c>
      <c r="C157" t="s">
        <v>362</v>
      </c>
      <c r="D157" t="s">
        <v>302</v>
      </c>
      <c r="E157">
        <v>4</v>
      </c>
      <c r="F157" t="s">
        <v>28</v>
      </c>
      <c r="G157">
        <v>14</v>
      </c>
      <c r="H157" t="s">
        <v>363</v>
      </c>
      <c r="I157" t="s">
        <v>30</v>
      </c>
      <c r="J157">
        <v>37</v>
      </c>
      <c r="K157" t="s">
        <v>42</v>
      </c>
      <c r="L157" t="s">
        <v>81</v>
      </c>
      <c r="M157" s="1">
        <v>45596</v>
      </c>
      <c r="N157" t="s">
        <v>44</v>
      </c>
      <c r="O157" t="s">
        <v>304</v>
      </c>
      <c r="P157" t="s">
        <v>68</v>
      </c>
      <c r="Q157" t="s">
        <v>120</v>
      </c>
      <c r="R157">
        <v>1858.72</v>
      </c>
      <c r="S157">
        <v>2175.88</v>
      </c>
      <c r="T157">
        <v>272</v>
      </c>
      <c r="U157">
        <v>11825.65</v>
      </c>
      <c r="V157">
        <v>2475.67</v>
      </c>
      <c r="W157">
        <v>9349.98</v>
      </c>
      <c r="X157">
        <v>4267.04</v>
      </c>
      <c r="Y157" t="s">
        <v>83</v>
      </c>
      <c r="Z157">
        <v>8703.52</v>
      </c>
      <c r="AA157">
        <v>1268.6400000000003</v>
      </c>
    </row>
    <row r="158" spans="1:27" x14ac:dyDescent="0.3">
      <c r="A158" t="s">
        <v>523</v>
      </c>
      <c r="B158" s="1">
        <v>45027</v>
      </c>
      <c r="C158" t="s">
        <v>524</v>
      </c>
      <c r="D158" t="s">
        <v>50</v>
      </c>
      <c r="E158">
        <v>1</v>
      </c>
      <c r="F158" t="s">
        <v>90</v>
      </c>
      <c r="G158">
        <v>12</v>
      </c>
      <c r="H158" t="s">
        <v>525</v>
      </c>
      <c r="I158" t="s">
        <v>80</v>
      </c>
      <c r="J158">
        <v>31</v>
      </c>
      <c r="K158" t="s">
        <v>65</v>
      </c>
      <c r="L158" t="s">
        <v>108</v>
      </c>
      <c r="M158" s="1">
        <v>45389</v>
      </c>
      <c r="N158" t="s">
        <v>44</v>
      </c>
      <c r="O158" t="s">
        <v>55</v>
      </c>
      <c r="P158" t="s">
        <v>35</v>
      </c>
      <c r="Q158" t="s">
        <v>46</v>
      </c>
      <c r="R158">
        <v>3612.18</v>
      </c>
      <c r="S158">
        <v>3996.91</v>
      </c>
      <c r="T158">
        <v>92</v>
      </c>
      <c r="U158">
        <v>14574.16</v>
      </c>
      <c r="V158">
        <v>3179.77</v>
      </c>
      <c r="W158">
        <v>11394.39</v>
      </c>
      <c r="X158">
        <v>3464.82</v>
      </c>
      <c r="Y158" t="s">
        <v>37</v>
      </c>
      <c r="Z158">
        <v>3996.91</v>
      </c>
      <c r="AA158">
        <v>384.73</v>
      </c>
    </row>
    <row r="159" spans="1:27" x14ac:dyDescent="0.3">
      <c r="A159" t="s">
        <v>526</v>
      </c>
      <c r="B159" s="1">
        <v>45262</v>
      </c>
      <c r="C159" t="s">
        <v>478</v>
      </c>
      <c r="D159" t="s">
        <v>527</v>
      </c>
      <c r="E159">
        <v>3</v>
      </c>
      <c r="F159" t="s">
        <v>78</v>
      </c>
      <c r="G159">
        <v>9</v>
      </c>
      <c r="H159" t="s">
        <v>479</v>
      </c>
      <c r="I159" t="s">
        <v>80</v>
      </c>
      <c r="J159">
        <v>56</v>
      </c>
      <c r="K159" t="s">
        <v>73</v>
      </c>
      <c r="L159" t="s">
        <v>66</v>
      </c>
      <c r="M159" s="1">
        <v>45186</v>
      </c>
      <c r="N159" t="s">
        <v>54</v>
      </c>
      <c r="O159" t="s">
        <v>528</v>
      </c>
      <c r="P159" t="s">
        <v>94</v>
      </c>
      <c r="Q159" t="s">
        <v>46</v>
      </c>
      <c r="R159">
        <v>2643.84</v>
      </c>
      <c r="S159">
        <v>3790.58</v>
      </c>
      <c r="T159">
        <v>63</v>
      </c>
      <c r="U159">
        <v>15304.96</v>
      </c>
      <c r="V159">
        <v>1603.52</v>
      </c>
      <c r="W159">
        <v>13701.44</v>
      </c>
      <c r="X159">
        <v>786.41</v>
      </c>
      <c r="Y159" t="s">
        <v>47</v>
      </c>
      <c r="Z159">
        <v>11371.74</v>
      </c>
      <c r="AA159">
        <v>3440.2199999999993</v>
      </c>
    </row>
    <row r="160" spans="1:27" x14ac:dyDescent="0.3">
      <c r="A160" t="s">
        <v>529</v>
      </c>
      <c r="B160" s="1">
        <v>45268</v>
      </c>
      <c r="C160" t="s">
        <v>524</v>
      </c>
      <c r="D160" t="s">
        <v>77</v>
      </c>
      <c r="E160">
        <v>2</v>
      </c>
      <c r="F160" t="s">
        <v>28</v>
      </c>
      <c r="G160">
        <v>20</v>
      </c>
      <c r="H160" t="s">
        <v>525</v>
      </c>
      <c r="I160" t="s">
        <v>80</v>
      </c>
      <c r="J160">
        <v>31</v>
      </c>
      <c r="K160" t="s">
        <v>65</v>
      </c>
      <c r="L160" t="s">
        <v>108</v>
      </c>
      <c r="M160" s="1">
        <v>45389</v>
      </c>
      <c r="N160" t="s">
        <v>44</v>
      </c>
      <c r="O160" t="s">
        <v>82</v>
      </c>
      <c r="P160" t="s">
        <v>35</v>
      </c>
      <c r="Q160" t="s">
        <v>46</v>
      </c>
      <c r="R160">
        <v>1607.82</v>
      </c>
      <c r="S160">
        <v>2197.14</v>
      </c>
      <c r="T160">
        <v>27</v>
      </c>
      <c r="U160">
        <v>5167.12</v>
      </c>
      <c r="V160">
        <v>1187.77</v>
      </c>
      <c r="W160">
        <v>3979.35</v>
      </c>
      <c r="X160">
        <v>4614.33</v>
      </c>
      <c r="Y160" t="s">
        <v>56</v>
      </c>
      <c r="Z160">
        <v>4394.28</v>
      </c>
      <c r="AA160">
        <v>1178.6399999999999</v>
      </c>
    </row>
    <row r="161" spans="1:27" x14ac:dyDescent="0.3">
      <c r="A161" t="s">
        <v>530</v>
      </c>
      <c r="B161" s="1">
        <v>45178</v>
      </c>
      <c r="C161" t="s">
        <v>531</v>
      </c>
      <c r="D161" t="s">
        <v>125</v>
      </c>
      <c r="E161">
        <v>4</v>
      </c>
      <c r="F161" t="s">
        <v>51</v>
      </c>
      <c r="G161">
        <v>20</v>
      </c>
      <c r="H161" t="s">
        <v>532</v>
      </c>
      <c r="I161" t="s">
        <v>30</v>
      </c>
      <c r="J161">
        <v>37</v>
      </c>
      <c r="K161" t="s">
        <v>73</v>
      </c>
      <c r="L161" t="s">
        <v>32</v>
      </c>
      <c r="M161" s="1">
        <v>45419</v>
      </c>
      <c r="N161" t="s">
        <v>33</v>
      </c>
      <c r="O161" t="s">
        <v>126</v>
      </c>
      <c r="P161" t="s">
        <v>68</v>
      </c>
      <c r="Q161" t="s">
        <v>120</v>
      </c>
      <c r="R161">
        <v>4301.32</v>
      </c>
      <c r="S161">
        <v>6870.07</v>
      </c>
      <c r="T161">
        <v>243</v>
      </c>
      <c r="U161">
        <v>17719.54</v>
      </c>
      <c r="V161">
        <v>3249.14</v>
      </c>
      <c r="W161">
        <v>14470.4</v>
      </c>
      <c r="X161">
        <v>2479.7399999999998</v>
      </c>
      <c r="Y161" t="s">
        <v>37</v>
      </c>
      <c r="Z161">
        <v>27480.28</v>
      </c>
      <c r="AA161">
        <v>10275</v>
      </c>
    </row>
    <row r="162" spans="1:27" x14ac:dyDescent="0.3">
      <c r="A162" t="s">
        <v>533</v>
      </c>
      <c r="B162" s="1">
        <v>45115</v>
      </c>
      <c r="C162" t="s">
        <v>524</v>
      </c>
      <c r="D162" t="s">
        <v>259</v>
      </c>
      <c r="E162">
        <v>1</v>
      </c>
      <c r="F162" t="s">
        <v>78</v>
      </c>
      <c r="G162">
        <v>10</v>
      </c>
      <c r="H162" t="s">
        <v>525</v>
      </c>
      <c r="I162" t="s">
        <v>80</v>
      </c>
      <c r="J162">
        <v>31</v>
      </c>
      <c r="K162" t="s">
        <v>65</v>
      </c>
      <c r="L162" t="s">
        <v>108</v>
      </c>
      <c r="M162" s="1">
        <v>45389</v>
      </c>
      <c r="N162" t="s">
        <v>44</v>
      </c>
      <c r="O162" t="s">
        <v>261</v>
      </c>
      <c r="P162" t="s">
        <v>94</v>
      </c>
      <c r="Q162" t="s">
        <v>111</v>
      </c>
      <c r="R162">
        <v>4426.51</v>
      </c>
      <c r="S162">
        <v>5123.7299999999996</v>
      </c>
      <c r="T162">
        <v>298</v>
      </c>
      <c r="U162">
        <v>19111.810000000001</v>
      </c>
      <c r="V162">
        <v>4207.74</v>
      </c>
      <c r="W162">
        <v>14904.07</v>
      </c>
      <c r="X162">
        <v>2166.54</v>
      </c>
      <c r="Y162" t="s">
        <v>47</v>
      </c>
      <c r="Z162">
        <v>5123.7299999999996</v>
      </c>
      <c r="AA162">
        <v>697.21999999999935</v>
      </c>
    </row>
    <row r="163" spans="1:27" x14ac:dyDescent="0.3">
      <c r="A163" t="s">
        <v>534</v>
      </c>
      <c r="B163" s="1">
        <v>45030</v>
      </c>
      <c r="C163" t="s">
        <v>535</v>
      </c>
      <c r="D163" t="s">
        <v>193</v>
      </c>
      <c r="E163">
        <v>6</v>
      </c>
      <c r="F163" t="s">
        <v>28</v>
      </c>
      <c r="G163">
        <v>6</v>
      </c>
      <c r="H163" t="s">
        <v>536</v>
      </c>
      <c r="I163" t="s">
        <v>80</v>
      </c>
      <c r="J163">
        <v>30</v>
      </c>
      <c r="K163" t="s">
        <v>42</v>
      </c>
      <c r="L163" t="s">
        <v>81</v>
      </c>
      <c r="M163" s="1">
        <v>44871</v>
      </c>
      <c r="N163" t="s">
        <v>44</v>
      </c>
      <c r="O163" t="s">
        <v>194</v>
      </c>
      <c r="P163" t="s">
        <v>94</v>
      </c>
      <c r="Q163" t="s">
        <v>120</v>
      </c>
      <c r="R163">
        <v>1267.6600000000001</v>
      </c>
      <c r="S163">
        <v>1481.07</v>
      </c>
      <c r="T163">
        <v>99</v>
      </c>
      <c r="U163">
        <v>9792.5</v>
      </c>
      <c r="V163">
        <v>1072.94</v>
      </c>
      <c r="W163">
        <v>8719.56</v>
      </c>
      <c r="X163">
        <v>4856.24</v>
      </c>
      <c r="Y163" t="s">
        <v>56</v>
      </c>
      <c r="Z163">
        <v>8886.42</v>
      </c>
      <c r="AA163">
        <v>1280.4599999999991</v>
      </c>
    </row>
    <row r="164" spans="1:27" x14ac:dyDescent="0.3">
      <c r="A164" t="s">
        <v>537</v>
      </c>
      <c r="B164" s="1">
        <v>45089</v>
      </c>
      <c r="C164" t="s">
        <v>524</v>
      </c>
      <c r="D164" t="s">
        <v>27</v>
      </c>
      <c r="E164">
        <v>1</v>
      </c>
      <c r="F164" t="s">
        <v>90</v>
      </c>
      <c r="G164">
        <v>10</v>
      </c>
      <c r="H164" t="s">
        <v>525</v>
      </c>
      <c r="I164" t="s">
        <v>80</v>
      </c>
      <c r="J164">
        <v>31</v>
      </c>
      <c r="K164" t="s">
        <v>65</v>
      </c>
      <c r="L164" t="s">
        <v>108</v>
      </c>
      <c r="M164" s="1">
        <v>45389</v>
      </c>
      <c r="N164" t="s">
        <v>44</v>
      </c>
      <c r="O164" t="s">
        <v>34</v>
      </c>
      <c r="P164" t="s">
        <v>35</v>
      </c>
      <c r="Q164" t="s">
        <v>36</v>
      </c>
      <c r="R164">
        <v>4318.8599999999997</v>
      </c>
      <c r="S164">
        <v>4880.6400000000003</v>
      </c>
      <c r="T164">
        <v>149</v>
      </c>
      <c r="U164">
        <v>6924.27</v>
      </c>
      <c r="V164">
        <v>1231.32</v>
      </c>
      <c r="W164">
        <v>5692.95</v>
      </c>
      <c r="X164">
        <v>1012.95</v>
      </c>
      <c r="Y164" t="s">
        <v>47</v>
      </c>
      <c r="Z164">
        <v>4880.6400000000003</v>
      </c>
      <c r="AA164">
        <v>561.78000000000065</v>
      </c>
    </row>
    <row r="165" spans="1:27" x14ac:dyDescent="0.3">
      <c r="A165" t="s">
        <v>538</v>
      </c>
      <c r="B165" s="1">
        <v>45286</v>
      </c>
      <c r="C165" t="s">
        <v>539</v>
      </c>
      <c r="D165" t="s">
        <v>219</v>
      </c>
      <c r="E165">
        <v>6</v>
      </c>
      <c r="F165" t="s">
        <v>90</v>
      </c>
      <c r="G165">
        <v>21</v>
      </c>
      <c r="H165" t="s">
        <v>540</v>
      </c>
      <c r="I165" t="s">
        <v>80</v>
      </c>
      <c r="J165">
        <v>46</v>
      </c>
      <c r="K165" t="s">
        <v>92</v>
      </c>
      <c r="L165" t="s">
        <v>43</v>
      </c>
      <c r="M165" s="1">
        <v>45081</v>
      </c>
      <c r="N165" t="s">
        <v>54</v>
      </c>
      <c r="O165" t="s">
        <v>221</v>
      </c>
      <c r="P165" t="s">
        <v>110</v>
      </c>
      <c r="Q165" t="s">
        <v>46</v>
      </c>
      <c r="R165">
        <v>2704.31</v>
      </c>
      <c r="S165">
        <v>4105</v>
      </c>
      <c r="T165">
        <v>48</v>
      </c>
      <c r="U165">
        <v>6546.89</v>
      </c>
      <c r="V165">
        <v>970.53</v>
      </c>
      <c r="W165">
        <v>5576.36</v>
      </c>
      <c r="X165">
        <v>4000.2</v>
      </c>
      <c r="Y165" t="s">
        <v>47</v>
      </c>
      <c r="Z165">
        <v>24630</v>
      </c>
      <c r="AA165">
        <v>8404.14</v>
      </c>
    </row>
    <row r="166" spans="1:27" x14ac:dyDescent="0.3">
      <c r="A166" t="s">
        <v>541</v>
      </c>
      <c r="B166" s="1">
        <v>45053</v>
      </c>
      <c r="C166" t="s">
        <v>353</v>
      </c>
      <c r="D166" t="s">
        <v>153</v>
      </c>
      <c r="E166">
        <v>1</v>
      </c>
      <c r="F166" t="s">
        <v>90</v>
      </c>
      <c r="G166">
        <v>3</v>
      </c>
      <c r="H166" t="s">
        <v>355</v>
      </c>
      <c r="I166" t="s">
        <v>80</v>
      </c>
      <c r="J166">
        <v>28</v>
      </c>
      <c r="K166" t="s">
        <v>42</v>
      </c>
      <c r="L166" t="s">
        <v>43</v>
      </c>
      <c r="M166" s="1">
        <v>44997</v>
      </c>
      <c r="N166" t="s">
        <v>33</v>
      </c>
      <c r="O166" t="s">
        <v>156</v>
      </c>
      <c r="P166" t="s">
        <v>35</v>
      </c>
      <c r="Q166" t="s">
        <v>36</v>
      </c>
      <c r="R166">
        <v>2340.46</v>
      </c>
      <c r="S166">
        <v>2600.46</v>
      </c>
      <c r="T166">
        <v>245</v>
      </c>
      <c r="U166">
        <v>14905.85</v>
      </c>
      <c r="V166">
        <v>1195.1199999999999</v>
      </c>
      <c r="W166">
        <v>13710.73</v>
      </c>
      <c r="X166">
        <v>4258.3100000000004</v>
      </c>
      <c r="Y166" t="s">
        <v>56</v>
      </c>
      <c r="Z166">
        <v>2600.46</v>
      </c>
      <c r="AA166">
        <v>260</v>
      </c>
    </row>
    <row r="167" spans="1:27" x14ac:dyDescent="0.3">
      <c r="A167" t="s">
        <v>542</v>
      </c>
      <c r="B167" s="1">
        <v>45239</v>
      </c>
      <c r="C167" t="s">
        <v>368</v>
      </c>
      <c r="D167" t="s">
        <v>354</v>
      </c>
      <c r="E167">
        <v>4</v>
      </c>
      <c r="F167" t="s">
        <v>78</v>
      </c>
      <c r="G167">
        <v>18</v>
      </c>
      <c r="H167" t="s">
        <v>369</v>
      </c>
      <c r="I167" t="s">
        <v>80</v>
      </c>
      <c r="J167">
        <v>30</v>
      </c>
      <c r="K167" t="s">
        <v>73</v>
      </c>
      <c r="L167" t="s">
        <v>108</v>
      </c>
      <c r="M167" s="1">
        <v>44835</v>
      </c>
      <c r="N167" t="s">
        <v>54</v>
      </c>
      <c r="O167" t="s">
        <v>356</v>
      </c>
      <c r="P167" t="s">
        <v>68</v>
      </c>
      <c r="Q167" t="s">
        <v>120</v>
      </c>
      <c r="R167">
        <v>3959.29</v>
      </c>
      <c r="S167">
        <v>5340.73</v>
      </c>
      <c r="T167">
        <v>91</v>
      </c>
      <c r="U167">
        <v>7227.94</v>
      </c>
      <c r="V167">
        <v>1337.32</v>
      </c>
      <c r="W167">
        <v>5890.62</v>
      </c>
      <c r="X167">
        <v>1475.02</v>
      </c>
      <c r="Y167" t="s">
        <v>83</v>
      </c>
      <c r="Z167">
        <v>21362.92</v>
      </c>
      <c r="AA167">
        <v>5525.7599999999984</v>
      </c>
    </row>
    <row r="168" spans="1:27" x14ac:dyDescent="0.3">
      <c r="A168" t="s">
        <v>543</v>
      </c>
      <c r="B168" s="1">
        <v>45232</v>
      </c>
      <c r="C168" t="s">
        <v>544</v>
      </c>
      <c r="D168" t="s">
        <v>190</v>
      </c>
      <c r="E168">
        <v>3</v>
      </c>
      <c r="F168" t="s">
        <v>90</v>
      </c>
      <c r="G168">
        <v>12</v>
      </c>
      <c r="H168" t="s">
        <v>545</v>
      </c>
      <c r="I168" t="s">
        <v>30</v>
      </c>
      <c r="J168">
        <v>24</v>
      </c>
      <c r="K168" t="s">
        <v>60</v>
      </c>
      <c r="L168" t="s">
        <v>32</v>
      </c>
      <c r="M168" s="1">
        <v>44885</v>
      </c>
      <c r="N168" t="s">
        <v>33</v>
      </c>
      <c r="O168" t="s">
        <v>191</v>
      </c>
      <c r="P168" t="s">
        <v>68</v>
      </c>
      <c r="Q168" t="s">
        <v>120</v>
      </c>
      <c r="R168">
        <v>2412.25</v>
      </c>
      <c r="S168">
        <v>3672.51</v>
      </c>
      <c r="T168">
        <v>100</v>
      </c>
      <c r="U168">
        <v>11565.05</v>
      </c>
      <c r="V168">
        <v>2455.44</v>
      </c>
      <c r="W168">
        <v>9109.61</v>
      </c>
      <c r="X168">
        <v>4976.93</v>
      </c>
      <c r="Y168" t="s">
        <v>37</v>
      </c>
      <c r="Z168">
        <v>11017.53</v>
      </c>
      <c r="AA168">
        <v>3780.7800000000007</v>
      </c>
    </row>
    <row r="169" spans="1:27" x14ac:dyDescent="0.3">
      <c r="A169" t="s">
        <v>546</v>
      </c>
      <c r="B169" s="1">
        <v>45116</v>
      </c>
      <c r="C169" t="s">
        <v>456</v>
      </c>
      <c r="D169" t="s">
        <v>276</v>
      </c>
      <c r="E169">
        <v>3</v>
      </c>
      <c r="F169" t="s">
        <v>51</v>
      </c>
      <c r="G169">
        <v>2</v>
      </c>
      <c r="H169" t="s">
        <v>457</v>
      </c>
      <c r="I169" t="s">
        <v>30</v>
      </c>
      <c r="J169">
        <v>30</v>
      </c>
      <c r="K169" t="s">
        <v>31</v>
      </c>
      <c r="L169" t="s">
        <v>108</v>
      </c>
      <c r="M169" s="1">
        <v>45281</v>
      </c>
      <c r="N169" t="s">
        <v>54</v>
      </c>
      <c r="O169" t="s">
        <v>278</v>
      </c>
      <c r="P169" t="s">
        <v>35</v>
      </c>
      <c r="Q169" t="s">
        <v>111</v>
      </c>
      <c r="R169">
        <v>3479.48</v>
      </c>
      <c r="S169">
        <v>5364.57</v>
      </c>
      <c r="T169">
        <v>41</v>
      </c>
      <c r="U169">
        <v>19086.25</v>
      </c>
      <c r="V169">
        <v>2406.62</v>
      </c>
      <c r="W169">
        <v>16679.63</v>
      </c>
      <c r="X169">
        <v>3395.89</v>
      </c>
      <c r="Y169" t="s">
        <v>47</v>
      </c>
      <c r="Z169">
        <v>16093.71</v>
      </c>
      <c r="AA169">
        <v>5655.2699999999986</v>
      </c>
    </row>
    <row r="170" spans="1:27" x14ac:dyDescent="0.3">
      <c r="A170" t="s">
        <v>547</v>
      </c>
      <c r="B170" s="1">
        <v>45076</v>
      </c>
      <c r="C170" t="s">
        <v>548</v>
      </c>
      <c r="D170" t="s">
        <v>197</v>
      </c>
      <c r="E170">
        <v>6</v>
      </c>
      <c r="F170" t="s">
        <v>28</v>
      </c>
      <c r="G170">
        <v>23</v>
      </c>
      <c r="H170" t="s">
        <v>549</v>
      </c>
      <c r="I170" t="s">
        <v>80</v>
      </c>
      <c r="J170">
        <v>50</v>
      </c>
      <c r="K170" t="s">
        <v>92</v>
      </c>
      <c r="L170" t="s">
        <v>66</v>
      </c>
      <c r="M170" s="1">
        <v>44953</v>
      </c>
      <c r="N170" t="s">
        <v>44</v>
      </c>
      <c r="O170" t="s">
        <v>199</v>
      </c>
      <c r="P170" t="s">
        <v>35</v>
      </c>
      <c r="Q170" t="s">
        <v>46</v>
      </c>
      <c r="R170">
        <v>1612.7</v>
      </c>
      <c r="S170">
        <v>1932.63</v>
      </c>
      <c r="T170">
        <v>278</v>
      </c>
      <c r="U170">
        <v>6393.71</v>
      </c>
      <c r="V170">
        <v>329.4</v>
      </c>
      <c r="W170">
        <v>6064.31</v>
      </c>
      <c r="X170">
        <v>3546.2</v>
      </c>
      <c r="Y170" t="s">
        <v>47</v>
      </c>
      <c r="Z170">
        <v>11595.78</v>
      </c>
      <c r="AA170">
        <v>1919.5800000000004</v>
      </c>
    </row>
    <row r="171" spans="1:27" x14ac:dyDescent="0.3">
      <c r="A171" t="s">
        <v>550</v>
      </c>
      <c r="B171" s="1">
        <v>45088</v>
      </c>
      <c r="C171" t="s">
        <v>551</v>
      </c>
      <c r="D171" t="s">
        <v>329</v>
      </c>
      <c r="E171">
        <v>6</v>
      </c>
      <c r="F171" t="s">
        <v>90</v>
      </c>
      <c r="G171">
        <v>14</v>
      </c>
      <c r="H171" t="s">
        <v>552</v>
      </c>
      <c r="I171" t="s">
        <v>80</v>
      </c>
      <c r="J171">
        <v>26</v>
      </c>
      <c r="K171" t="s">
        <v>42</v>
      </c>
      <c r="L171" t="s">
        <v>108</v>
      </c>
      <c r="M171" s="1">
        <v>45433</v>
      </c>
      <c r="N171" t="s">
        <v>54</v>
      </c>
      <c r="O171" t="s">
        <v>330</v>
      </c>
      <c r="P171" t="s">
        <v>94</v>
      </c>
      <c r="Q171" t="s">
        <v>46</v>
      </c>
      <c r="R171">
        <v>3358.26</v>
      </c>
      <c r="S171">
        <v>4345.1099999999997</v>
      </c>
      <c r="T171">
        <v>179</v>
      </c>
      <c r="U171">
        <v>18395.93</v>
      </c>
      <c r="V171">
        <v>2898.84</v>
      </c>
      <c r="W171">
        <v>15497.09</v>
      </c>
      <c r="X171">
        <v>1511.23</v>
      </c>
      <c r="Y171" t="s">
        <v>56</v>
      </c>
      <c r="Z171">
        <v>26070.659999999996</v>
      </c>
      <c r="AA171">
        <v>5921.0999999999967</v>
      </c>
    </row>
    <row r="172" spans="1:27" x14ac:dyDescent="0.3">
      <c r="A172" t="s">
        <v>553</v>
      </c>
      <c r="B172" s="1">
        <v>45155</v>
      </c>
      <c r="C172" t="s">
        <v>554</v>
      </c>
      <c r="D172" t="s">
        <v>183</v>
      </c>
      <c r="E172">
        <v>1</v>
      </c>
      <c r="F172" t="s">
        <v>28</v>
      </c>
      <c r="G172">
        <v>19</v>
      </c>
      <c r="H172" t="s">
        <v>555</v>
      </c>
      <c r="I172" t="s">
        <v>80</v>
      </c>
      <c r="J172">
        <v>33</v>
      </c>
      <c r="K172" t="s">
        <v>31</v>
      </c>
      <c r="L172" t="s">
        <v>108</v>
      </c>
      <c r="M172" s="1">
        <v>45546</v>
      </c>
      <c r="N172" t="s">
        <v>54</v>
      </c>
      <c r="O172" t="s">
        <v>185</v>
      </c>
      <c r="P172" t="s">
        <v>110</v>
      </c>
      <c r="Q172" t="s">
        <v>36</v>
      </c>
      <c r="R172">
        <v>1358.27</v>
      </c>
      <c r="S172">
        <v>1886.86</v>
      </c>
      <c r="T172">
        <v>153</v>
      </c>
      <c r="U172">
        <v>11762.14</v>
      </c>
      <c r="V172">
        <v>2458.3000000000002</v>
      </c>
      <c r="W172">
        <v>9303.84</v>
      </c>
      <c r="X172">
        <v>3167.26</v>
      </c>
      <c r="Y172" t="s">
        <v>37</v>
      </c>
      <c r="Z172">
        <v>1886.86</v>
      </c>
      <c r="AA172">
        <v>528.58999999999992</v>
      </c>
    </row>
    <row r="173" spans="1:27" x14ac:dyDescent="0.3">
      <c r="A173" t="s">
        <v>556</v>
      </c>
      <c r="B173" s="1">
        <v>44934</v>
      </c>
      <c r="C173" t="s">
        <v>557</v>
      </c>
      <c r="D173" t="s">
        <v>183</v>
      </c>
      <c r="E173">
        <v>4</v>
      </c>
      <c r="F173" t="s">
        <v>51</v>
      </c>
      <c r="G173">
        <v>20</v>
      </c>
      <c r="H173" t="s">
        <v>558</v>
      </c>
      <c r="I173" t="s">
        <v>80</v>
      </c>
      <c r="J173">
        <v>58</v>
      </c>
      <c r="K173" t="s">
        <v>92</v>
      </c>
      <c r="L173" t="s">
        <v>108</v>
      </c>
      <c r="M173" s="1">
        <v>45702</v>
      </c>
      <c r="N173" t="s">
        <v>44</v>
      </c>
      <c r="O173" t="s">
        <v>185</v>
      </c>
      <c r="P173" t="s">
        <v>110</v>
      </c>
      <c r="Q173" t="s">
        <v>36</v>
      </c>
      <c r="R173">
        <v>1358.27</v>
      </c>
      <c r="S173">
        <v>1886.86</v>
      </c>
      <c r="T173">
        <v>153</v>
      </c>
      <c r="U173">
        <v>3528.41</v>
      </c>
      <c r="V173">
        <v>215.86</v>
      </c>
      <c r="W173">
        <v>3312.55</v>
      </c>
      <c r="X173">
        <v>1496.12</v>
      </c>
      <c r="Y173" t="s">
        <v>56</v>
      </c>
      <c r="Z173">
        <v>7547.44</v>
      </c>
      <c r="AA173">
        <v>2114.3599999999997</v>
      </c>
    </row>
    <row r="174" spans="1:27" x14ac:dyDescent="0.3">
      <c r="A174" t="s">
        <v>559</v>
      </c>
      <c r="B174" s="1">
        <v>45079</v>
      </c>
      <c r="C174" t="s">
        <v>368</v>
      </c>
      <c r="D174" t="s">
        <v>106</v>
      </c>
      <c r="E174">
        <v>6</v>
      </c>
      <c r="F174" t="s">
        <v>28</v>
      </c>
      <c r="G174">
        <v>10</v>
      </c>
      <c r="H174" t="s">
        <v>369</v>
      </c>
      <c r="I174" t="s">
        <v>80</v>
      </c>
      <c r="J174">
        <v>30</v>
      </c>
      <c r="K174" t="s">
        <v>73</v>
      </c>
      <c r="L174" t="s">
        <v>108</v>
      </c>
      <c r="M174" s="1">
        <v>44835</v>
      </c>
      <c r="N174" t="s">
        <v>54</v>
      </c>
      <c r="O174" t="s">
        <v>109</v>
      </c>
      <c r="P174" t="s">
        <v>110</v>
      </c>
      <c r="Q174" t="s">
        <v>111</v>
      </c>
      <c r="R174">
        <v>1622.17</v>
      </c>
      <c r="S174">
        <v>1993.72</v>
      </c>
      <c r="T174">
        <v>262</v>
      </c>
      <c r="U174">
        <v>3611.19</v>
      </c>
      <c r="V174">
        <v>441.08</v>
      </c>
      <c r="W174">
        <v>3170.11</v>
      </c>
      <c r="X174">
        <v>4927.21</v>
      </c>
      <c r="Y174" t="s">
        <v>56</v>
      </c>
      <c r="Z174">
        <v>11962.32</v>
      </c>
      <c r="AA174">
        <v>2229.2999999999997</v>
      </c>
    </row>
    <row r="175" spans="1:27" x14ac:dyDescent="0.3">
      <c r="A175" t="s">
        <v>560</v>
      </c>
      <c r="B175" s="1">
        <v>45289</v>
      </c>
      <c r="C175" t="s">
        <v>535</v>
      </c>
      <c r="D175" t="s">
        <v>335</v>
      </c>
      <c r="E175">
        <v>3</v>
      </c>
      <c r="F175" t="s">
        <v>51</v>
      </c>
      <c r="G175">
        <v>5</v>
      </c>
      <c r="H175" t="s">
        <v>536</v>
      </c>
      <c r="I175" t="s">
        <v>80</v>
      </c>
      <c r="J175">
        <v>30</v>
      </c>
      <c r="K175" t="s">
        <v>42</v>
      </c>
      <c r="L175" t="s">
        <v>81</v>
      </c>
      <c r="M175" s="1">
        <v>44871</v>
      </c>
      <c r="N175" t="s">
        <v>44</v>
      </c>
      <c r="O175" t="s">
        <v>336</v>
      </c>
      <c r="P175" t="s">
        <v>68</v>
      </c>
      <c r="Q175" t="s">
        <v>36</v>
      </c>
      <c r="R175">
        <v>4727.87</v>
      </c>
      <c r="S175">
        <v>6561</v>
      </c>
      <c r="T175">
        <v>290</v>
      </c>
      <c r="U175">
        <v>17991.060000000001</v>
      </c>
      <c r="V175">
        <v>1786.87</v>
      </c>
      <c r="W175">
        <v>16204.19</v>
      </c>
      <c r="X175">
        <v>1308.69</v>
      </c>
      <c r="Y175" t="s">
        <v>83</v>
      </c>
      <c r="Z175">
        <v>19683</v>
      </c>
      <c r="AA175">
        <v>5499.39</v>
      </c>
    </row>
    <row r="176" spans="1:27" x14ac:dyDescent="0.3">
      <c r="A176" t="s">
        <v>561</v>
      </c>
      <c r="B176" s="1">
        <v>45019</v>
      </c>
      <c r="C176" t="s">
        <v>562</v>
      </c>
      <c r="D176" t="s">
        <v>399</v>
      </c>
      <c r="E176">
        <v>2</v>
      </c>
      <c r="F176" t="s">
        <v>78</v>
      </c>
      <c r="G176">
        <v>5</v>
      </c>
      <c r="H176" t="s">
        <v>563</v>
      </c>
      <c r="I176" t="s">
        <v>30</v>
      </c>
      <c r="J176">
        <v>46</v>
      </c>
      <c r="K176" t="s">
        <v>31</v>
      </c>
      <c r="L176" t="s">
        <v>53</v>
      </c>
      <c r="M176" s="1">
        <v>45409</v>
      </c>
      <c r="N176" t="s">
        <v>44</v>
      </c>
      <c r="O176" t="s">
        <v>400</v>
      </c>
      <c r="P176" t="s">
        <v>94</v>
      </c>
      <c r="Q176" t="s">
        <v>46</v>
      </c>
      <c r="R176">
        <v>828.79</v>
      </c>
      <c r="S176">
        <v>1227.1300000000001</v>
      </c>
      <c r="T176">
        <v>228</v>
      </c>
      <c r="U176">
        <v>15336.89</v>
      </c>
      <c r="V176">
        <v>648.27</v>
      </c>
      <c r="W176">
        <v>14688.62</v>
      </c>
      <c r="X176">
        <v>1909.98</v>
      </c>
      <c r="Y176" t="s">
        <v>83</v>
      </c>
      <c r="Z176">
        <v>2454.2600000000002</v>
      </c>
      <c r="AA176">
        <v>796.68000000000029</v>
      </c>
    </row>
    <row r="177" spans="1:27" x14ac:dyDescent="0.3">
      <c r="A177" t="s">
        <v>564</v>
      </c>
      <c r="B177" s="1">
        <v>45174</v>
      </c>
      <c r="C177" t="s">
        <v>565</v>
      </c>
      <c r="D177" t="s">
        <v>197</v>
      </c>
      <c r="E177">
        <v>5</v>
      </c>
      <c r="F177" t="s">
        <v>51</v>
      </c>
      <c r="G177">
        <v>21</v>
      </c>
      <c r="H177" t="s">
        <v>566</v>
      </c>
      <c r="I177" t="s">
        <v>80</v>
      </c>
      <c r="J177">
        <v>30</v>
      </c>
      <c r="K177" t="s">
        <v>42</v>
      </c>
      <c r="L177" t="s">
        <v>32</v>
      </c>
      <c r="M177" s="1">
        <v>45608</v>
      </c>
      <c r="N177" t="s">
        <v>54</v>
      </c>
      <c r="O177" t="s">
        <v>199</v>
      </c>
      <c r="P177" t="s">
        <v>35</v>
      </c>
      <c r="Q177" t="s">
        <v>46</v>
      </c>
      <c r="R177">
        <v>1612.7</v>
      </c>
      <c r="S177">
        <v>1932.63</v>
      </c>
      <c r="T177">
        <v>278</v>
      </c>
      <c r="U177">
        <v>12839.01</v>
      </c>
      <c r="V177">
        <v>419.68</v>
      </c>
      <c r="W177">
        <v>12419.33</v>
      </c>
      <c r="X177">
        <v>4141.5600000000004</v>
      </c>
      <c r="Y177" t="s">
        <v>47</v>
      </c>
      <c r="Z177">
        <v>9663.1500000000015</v>
      </c>
      <c r="AA177">
        <v>1599.6500000000003</v>
      </c>
    </row>
    <row r="178" spans="1:27" x14ac:dyDescent="0.3">
      <c r="A178" t="s">
        <v>567</v>
      </c>
      <c r="B178" s="1">
        <v>45061</v>
      </c>
      <c r="C178" t="s">
        <v>568</v>
      </c>
      <c r="D178" t="s">
        <v>202</v>
      </c>
      <c r="E178">
        <v>6</v>
      </c>
      <c r="F178" t="s">
        <v>90</v>
      </c>
      <c r="G178">
        <v>19</v>
      </c>
      <c r="H178" t="s">
        <v>569</v>
      </c>
      <c r="I178" t="s">
        <v>30</v>
      </c>
      <c r="J178">
        <v>51</v>
      </c>
      <c r="K178" t="s">
        <v>155</v>
      </c>
      <c r="L178" t="s">
        <v>43</v>
      </c>
      <c r="M178" s="1">
        <v>45056</v>
      </c>
      <c r="N178" t="s">
        <v>33</v>
      </c>
      <c r="O178" t="s">
        <v>204</v>
      </c>
      <c r="P178" t="s">
        <v>110</v>
      </c>
      <c r="Q178" t="s">
        <v>111</v>
      </c>
      <c r="R178">
        <v>830.87</v>
      </c>
      <c r="S178">
        <v>1283.0999999999999</v>
      </c>
      <c r="T178">
        <v>46</v>
      </c>
      <c r="U178">
        <v>18259.490000000002</v>
      </c>
      <c r="V178">
        <v>2225.6799999999998</v>
      </c>
      <c r="W178">
        <v>16033.81</v>
      </c>
      <c r="X178">
        <v>428.99</v>
      </c>
      <c r="Y178" t="s">
        <v>83</v>
      </c>
      <c r="Z178">
        <v>7698.5999999999995</v>
      </c>
      <c r="AA178">
        <v>2713.3799999999992</v>
      </c>
    </row>
    <row r="179" spans="1:27" x14ac:dyDescent="0.3">
      <c r="A179" t="s">
        <v>570</v>
      </c>
      <c r="B179" s="1">
        <v>45072</v>
      </c>
      <c r="C179" t="s">
        <v>571</v>
      </c>
      <c r="D179" t="s">
        <v>134</v>
      </c>
      <c r="E179">
        <v>3</v>
      </c>
      <c r="F179" t="s">
        <v>51</v>
      </c>
      <c r="G179">
        <v>17</v>
      </c>
      <c r="H179" t="s">
        <v>572</v>
      </c>
      <c r="I179" t="s">
        <v>80</v>
      </c>
      <c r="J179">
        <v>45</v>
      </c>
      <c r="K179" t="s">
        <v>73</v>
      </c>
      <c r="L179" t="s">
        <v>53</v>
      </c>
      <c r="M179" s="1">
        <v>45046</v>
      </c>
      <c r="N179" t="s">
        <v>33</v>
      </c>
      <c r="O179" t="s">
        <v>136</v>
      </c>
      <c r="P179" t="s">
        <v>68</v>
      </c>
      <c r="Q179" t="s">
        <v>46</v>
      </c>
      <c r="R179">
        <v>3023.88</v>
      </c>
      <c r="S179">
        <v>3903.42</v>
      </c>
      <c r="T179">
        <v>217</v>
      </c>
      <c r="U179">
        <v>4442.88</v>
      </c>
      <c r="V179">
        <v>283.35000000000002</v>
      </c>
      <c r="W179">
        <v>4159.53</v>
      </c>
      <c r="X179">
        <v>2404.12</v>
      </c>
      <c r="Y179" t="s">
        <v>47</v>
      </c>
      <c r="Z179">
        <v>11710.26</v>
      </c>
      <c r="AA179">
        <v>2638.62</v>
      </c>
    </row>
    <row r="180" spans="1:27" x14ac:dyDescent="0.3">
      <c r="A180" t="s">
        <v>573</v>
      </c>
      <c r="B180" s="1">
        <v>45268</v>
      </c>
      <c r="C180" t="s">
        <v>574</v>
      </c>
      <c r="D180" t="s">
        <v>302</v>
      </c>
      <c r="E180">
        <v>2</v>
      </c>
      <c r="F180" t="s">
        <v>28</v>
      </c>
      <c r="G180">
        <v>18</v>
      </c>
      <c r="H180" t="s">
        <v>575</v>
      </c>
      <c r="I180" t="s">
        <v>80</v>
      </c>
      <c r="J180">
        <v>26</v>
      </c>
      <c r="K180" t="s">
        <v>155</v>
      </c>
      <c r="L180" t="s">
        <v>32</v>
      </c>
      <c r="M180" s="1">
        <v>44848</v>
      </c>
      <c r="N180" t="s">
        <v>54</v>
      </c>
      <c r="O180" t="s">
        <v>304</v>
      </c>
      <c r="P180" t="s">
        <v>68</v>
      </c>
      <c r="Q180" t="s">
        <v>120</v>
      </c>
      <c r="R180">
        <v>1858.72</v>
      </c>
      <c r="S180">
        <v>2175.88</v>
      </c>
      <c r="T180">
        <v>272</v>
      </c>
      <c r="U180">
        <v>5005.34</v>
      </c>
      <c r="V180">
        <v>231.19</v>
      </c>
      <c r="W180">
        <v>4774.1499999999996</v>
      </c>
      <c r="X180">
        <v>180.24</v>
      </c>
      <c r="Y180" t="s">
        <v>56</v>
      </c>
      <c r="Z180">
        <v>4351.76</v>
      </c>
      <c r="AA180">
        <v>634.32000000000016</v>
      </c>
    </row>
    <row r="181" spans="1:27" x14ac:dyDescent="0.3">
      <c r="A181" t="s">
        <v>576</v>
      </c>
      <c r="B181" s="1">
        <v>45264</v>
      </c>
      <c r="C181" t="s">
        <v>467</v>
      </c>
      <c r="D181" t="s">
        <v>322</v>
      </c>
      <c r="E181">
        <v>5</v>
      </c>
      <c r="F181" t="s">
        <v>28</v>
      </c>
      <c r="G181">
        <v>21</v>
      </c>
      <c r="H181" t="s">
        <v>468</v>
      </c>
      <c r="I181" t="s">
        <v>30</v>
      </c>
      <c r="J181">
        <v>46</v>
      </c>
      <c r="K181" t="s">
        <v>155</v>
      </c>
      <c r="L181" t="s">
        <v>108</v>
      </c>
      <c r="M181" s="1">
        <v>45233</v>
      </c>
      <c r="N181" t="s">
        <v>44</v>
      </c>
      <c r="O181" t="s">
        <v>324</v>
      </c>
      <c r="P181" t="s">
        <v>35</v>
      </c>
      <c r="Q181" t="s">
        <v>111</v>
      </c>
      <c r="R181">
        <v>3696.72</v>
      </c>
      <c r="S181">
        <v>4397.13</v>
      </c>
      <c r="T181">
        <v>92</v>
      </c>
      <c r="U181">
        <v>7972.15</v>
      </c>
      <c r="V181">
        <v>1165.72</v>
      </c>
      <c r="W181">
        <v>6806.43</v>
      </c>
      <c r="X181">
        <v>2534.9</v>
      </c>
      <c r="Y181" t="s">
        <v>47</v>
      </c>
      <c r="Z181">
        <v>21985.65</v>
      </c>
      <c r="AA181">
        <v>3502.0500000000015</v>
      </c>
    </row>
    <row r="182" spans="1:27" x14ac:dyDescent="0.3">
      <c r="A182" t="s">
        <v>577</v>
      </c>
      <c r="B182" s="1">
        <v>45126</v>
      </c>
      <c r="C182" t="s">
        <v>578</v>
      </c>
      <c r="D182" t="s">
        <v>290</v>
      </c>
      <c r="E182">
        <v>5</v>
      </c>
      <c r="F182" t="s">
        <v>90</v>
      </c>
      <c r="G182">
        <v>10</v>
      </c>
      <c r="H182" t="s">
        <v>579</v>
      </c>
      <c r="I182" t="s">
        <v>80</v>
      </c>
      <c r="J182">
        <v>26</v>
      </c>
      <c r="K182" t="s">
        <v>53</v>
      </c>
      <c r="L182" t="s">
        <v>66</v>
      </c>
      <c r="M182" s="1">
        <v>45272</v>
      </c>
      <c r="N182" t="s">
        <v>33</v>
      </c>
      <c r="O182" t="s">
        <v>291</v>
      </c>
      <c r="P182" t="s">
        <v>68</v>
      </c>
      <c r="Q182" t="s">
        <v>111</v>
      </c>
      <c r="R182">
        <v>2649.82</v>
      </c>
      <c r="S182">
        <v>3522.16</v>
      </c>
      <c r="T182">
        <v>205</v>
      </c>
      <c r="U182">
        <v>9069.43</v>
      </c>
      <c r="V182">
        <v>1163.5999999999999</v>
      </c>
      <c r="W182">
        <v>7905.83</v>
      </c>
      <c r="X182">
        <v>2599.39</v>
      </c>
      <c r="Y182" t="s">
        <v>47</v>
      </c>
      <c r="Z182">
        <v>17610.8</v>
      </c>
      <c r="AA182">
        <v>4361.6999999999989</v>
      </c>
    </row>
    <row r="183" spans="1:27" x14ac:dyDescent="0.3">
      <c r="A183" t="s">
        <v>580</v>
      </c>
      <c r="B183" s="1">
        <v>44970</v>
      </c>
      <c r="C183" t="s">
        <v>551</v>
      </c>
      <c r="D183" t="s">
        <v>163</v>
      </c>
      <c r="E183">
        <v>3</v>
      </c>
      <c r="F183" t="s">
        <v>78</v>
      </c>
      <c r="G183">
        <v>16</v>
      </c>
      <c r="H183" t="s">
        <v>552</v>
      </c>
      <c r="I183" t="s">
        <v>80</v>
      </c>
      <c r="J183">
        <v>26</v>
      </c>
      <c r="K183" t="s">
        <v>42</v>
      </c>
      <c r="L183" t="s">
        <v>108</v>
      </c>
      <c r="M183" s="1">
        <v>45433</v>
      </c>
      <c r="N183" t="s">
        <v>54</v>
      </c>
      <c r="O183" t="s">
        <v>165</v>
      </c>
      <c r="P183" t="s">
        <v>94</v>
      </c>
      <c r="Q183" t="s">
        <v>120</v>
      </c>
      <c r="R183">
        <v>1733.92</v>
      </c>
      <c r="S183">
        <v>2099.92</v>
      </c>
      <c r="T183">
        <v>175</v>
      </c>
      <c r="U183">
        <v>6967.2</v>
      </c>
      <c r="V183">
        <v>148.28</v>
      </c>
      <c r="W183">
        <v>6818.92</v>
      </c>
      <c r="X183">
        <v>274.8</v>
      </c>
      <c r="Y183" t="s">
        <v>83</v>
      </c>
      <c r="Z183">
        <v>6299.76</v>
      </c>
      <c r="AA183">
        <v>1098</v>
      </c>
    </row>
    <row r="184" spans="1:27" x14ac:dyDescent="0.3">
      <c r="A184" t="s">
        <v>581</v>
      </c>
      <c r="B184" s="1">
        <v>45064</v>
      </c>
      <c r="C184" t="s">
        <v>582</v>
      </c>
      <c r="D184" t="s">
        <v>102</v>
      </c>
      <c r="E184">
        <v>3</v>
      </c>
      <c r="F184" t="s">
        <v>78</v>
      </c>
      <c r="G184">
        <v>18</v>
      </c>
      <c r="H184" t="s">
        <v>583</v>
      </c>
      <c r="I184" t="s">
        <v>80</v>
      </c>
      <c r="J184">
        <v>39</v>
      </c>
      <c r="K184" t="s">
        <v>60</v>
      </c>
      <c r="L184" t="s">
        <v>43</v>
      </c>
      <c r="M184" s="1">
        <v>45402</v>
      </c>
      <c r="N184" t="s">
        <v>44</v>
      </c>
      <c r="O184" t="s">
        <v>103</v>
      </c>
      <c r="P184" t="s">
        <v>94</v>
      </c>
      <c r="Q184" t="s">
        <v>46</v>
      </c>
      <c r="R184">
        <v>4398.43</v>
      </c>
      <c r="S184">
        <v>6683.28</v>
      </c>
      <c r="T184">
        <v>152</v>
      </c>
      <c r="U184">
        <v>14660.91</v>
      </c>
      <c r="V184">
        <v>1985.3</v>
      </c>
      <c r="W184">
        <v>12675.61</v>
      </c>
      <c r="X184">
        <v>3539.82</v>
      </c>
      <c r="Y184" t="s">
        <v>56</v>
      </c>
      <c r="Z184">
        <v>20049.84</v>
      </c>
      <c r="AA184">
        <v>6854.5499999999984</v>
      </c>
    </row>
    <row r="185" spans="1:27" x14ac:dyDescent="0.3">
      <c r="A185" t="s">
        <v>584</v>
      </c>
      <c r="B185" s="1">
        <v>45251</v>
      </c>
      <c r="C185" t="s">
        <v>585</v>
      </c>
      <c r="D185" t="s">
        <v>230</v>
      </c>
      <c r="E185">
        <v>4</v>
      </c>
      <c r="F185" t="s">
        <v>90</v>
      </c>
      <c r="G185">
        <v>22</v>
      </c>
      <c r="H185" t="s">
        <v>586</v>
      </c>
      <c r="I185" t="s">
        <v>80</v>
      </c>
      <c r="J185">
        <v>36</v>
      </c>
      <c r="K185" t="s">
        <v>73</v>
      </c>
      <c r="L185" t="s">
        <v>43</v>
      </c>
      <c r="M185" s="1">
        <v>45195</v>
      </c>
      <c r="N185" t="s">
        <v>54</v>
      </c>
      <c r="O185" t="s">
        <v>232</v>
      </c>
      <c r="P185" t="s">
        <v>110</v>
      </c>
      <c r="Q185" t="s">
        <v>46</v>
      </c>
      <c r="R185">
        <v>4570.75</v>
      </c>
      <c r="S185">
        <v>5891.26</v>
      </c>
      <c r="T185">
        <v>285</v>
      </c>
      <c r="U185">
        <v>10629.91</v>
      </c>
      <c r="V185">
        <v>1295.42</v>
      </c>
      <c r="W185">
        <v>9334.49</v>
      </c>
      <c r="X185">
        <v>1039.47</v>
      </c>
      <c r="Y185" t="s">
        <v>83</v>
      </c>
      <c r="Z185">
        <v>23565.040000000001</v>
      </c>
      <c r="AA185">
        <v>5282.0400000000009</v>
      </c>
    </row>
    <row r="186" spans="1:27" x14ac:dyDescent="0.3">
      <c r="A186" t="s">
        <v>587</v>
      </c>
      <c r="B186" s="1">
        <v>44947</v>
      </c>
      <c r="C186" t="s">
        <v>588</v>
      </c>
      <c r="D186" t="s">
        <v>399</v>
      </c>
      <c r="E186">
        <v>6</v>
      </c>
      <c r="F186" t="s">
        <v>78</v>
      </c>
      <c r="G186">
        <v>4</v>
      </c>
      <c r="H186" t="s">
        <v>589</v>
      </c>
      <c r="I186" t="s">
        <v>30</v>
      </c>
      <c r="J186">
        <v>27</v>
      </c>
      <c r="K186" t="s">
        <v>42</v>
      </c>
      <c r="L186" t="s">
        <v>43</v>
      </c>
      <c r="M186" s="1">
        <v>44991</v>
      </c>
      <c r="N186" t="s">
        <v>33</v>
      </c>
      <c r="O186" t="s">
        <v>400</v>
      </c>
      <c r="P186" t="s">
        <v>94</v>
      </c>
      <c r="Q186" t="s">
        <v>46</v>
      </c>
      <c r="R186">
        <v>828.79</v>
      </c>
      <c r="S186">
        <v>1227.1300000000001</v>
      </c>
      <c r="T186">
        <v>228</v>
      </c>
      <c r="U186">
        <v>3169.1</v>
      </c>
      <c r="V186">
        <v>755.21</v>
      </c>
      <c r="W186">
        <v>2413.89</v>
      </c>
      <c r="X186">
        <v>4425</v>
      </c>
      <c r="Y186" t="s">
        <v>56</v>
      </c>
      <c r="Z186">
        <v>7362.7800000000007</v>
      </c>
      <c r="AA186">
        <v>2390.0400000000009</v>
      </c>
    </row>
    <row r="187" spans="1:27" x14ac:dyDescent="0.3">
      <c r="A187" t="s">
        <v>590</v>
      </c>
      <c r="B187" s="1">
        <v>45014</v>
      </c>
      <c r="C187" t="s">
        <v>407</v>
      </c>
      <c r="D187" t="s">
        <v>420</v>
      </c>
      <c r="E187">
        <v>2</v>
      </c>
      <c r="F187" t="s">
        <v>28</v>
      </c>
      <c r="G187">
        <v>23</v>
      </c>
      <c r="H187" t="s">
        <v>409</v>
      </c>
      <c r="I187" t="s">
        <v>80</v>
      </c>
      <c r="J187">
        <v>22</v>
      </c>
      <c r="K187" t="s">
        <v>31</v>
      </c>
      <c r="L187" t="s">
        <v>81</v>
      </c>
      <c r="M187" s="1">
        <v>44661</v>
      </c>
      <c r="N187" t="s">
        <v>44</v>
      </c>
      <c r="O187" t="s">
        <v>422</v>
      </c>
      <c r="P187" t="s">
        <v>110</v>
      </c>
      <c r="Q187" t="s">
        <v>46</v>
      </c>
      <c r="R187">
        <v>2369.11</v>
      </c>
      <c r="S187">
        <v>2775.74</v>
      </c>
      <c r="T187">
        <v>21</v>
      </c>
      <c r="U187">
        <v>10523.37</v>
      </c>
      <c r="V187">
        <v>1450.24</v>
      </c>
      <c r="W187">
        <v>9073.1299999999992</v>
      </c>
      <c r="X187">
        <v>3718.21</v>
      </c>
      <c r="Y187" t="s">
        <v>37</v>
      </c>
      <c r="Z187">
        <v>5551.48</v>
      </c>
      <c r="AA187">
        <v>813.25999999999931</v>
      </c>
    </row>
    <row r="188" spans="1:27" x14ac:dyDescent="0.3">
      <c r="A188" t="s">
        <v>591</v>
      </c>
      <c r="B188" s="1">
        <v>44937</v>
      </c>
      <c r="C188" t="s">
        <v>592</v>
      </c>
      <c r="D188" t="s">
        <v>290</v>
      </c>
      <c r="E188">
        <v>2</v>
      </c>
      <c r="F188" t="s">
        <v>28</v>
      </c>
      <c r="G188">
        <v>7</v>
      </c>
      <c r="H188" t="s">
        <v>593</v>
      </c>
      <c r="I188" t="s">
        <v>80</v>
      </c>
      <c r="J188">
        <v>44</v>
      </c>
      <c r="K188" t="s">
        <v>92</v>
      </c>
      <c r="L188" t="s">
        <v>81</v>
      </c>
      <c r="M188" s="1">
        <v>45366</v>
      </c>
      <c r="N188" t="s">
        <v>54</v>
      </c>
      <c r="O188" t="s">
        <v>291</v>
      </c>
      <c r="P188" t="s">
        <v>68</v>
      </c>
      <c r="Q188" t="s">
        <v>111</v>
      </c>
      <c r="R188">
        <v>2649.82</v>
      </c>
      <c r="S188">
        <v>3522.16</v>
      </c>
      <c r="T188">
        <v>205</v>
      </c>
      <c r="U188">
        <v>648.02</v>
      </c>
      <c r="V188">
        <v>116.86</v>
      </c>
      <c r="W188">
        <v>531.16</v>
      </c>
      <c r="X188">
        <v>830.87</v>
      </c>
      <c r="Y188" t="s">
        <v>47</v>
      </c>
      <c r="Z188">
        <v>7044.32</v>
      </c>
      <c r="AA188">
        <v>1744.6799999999994</v>
      </c>
    </row>
    <row r="189" spans="1:27" x14ac:dyDescent="0.3">
      <c r="A189" t="s">
        <v>594</v>
      </c>
      <c r="B189" s="1">
        <v>45286</v>
      </c>
      <c r="C189" t="s">
        <v>595</v>
      </c>
      <c r="D189" t="s">
        <v>322</v>
      </c>
      <c r="E189">
        <v>6</v>
      </c>
      <c r="F189" t="s">
        <v>51</v>
      </c>
      <c r="G189">
        <v>0</v>
      </c>
      <c r="H189" t="s">
        <v>596</v>
      </c>
      <c r="I189" t="s">
        <v>80</v>
      </c>
      <c r="J189">
        <v>55</v>
      </c>
      <c r="K189" t="s">
        <v>73</v>
      </c>
      <c r="L189" t="s">
        <v>66</v>
      </c>
      <c r="M189" s="1">
        <v>44682</v>
      </c>
      <c r="N189" t="s">
        <v>54</v>
      </c>
      <c r="O189" t="s">
        <v>324</v>
      </c>
      <c r="P189" t="s">
        <v>35</v>
      </c>
      <c r="Q189" t="s">
        <v>111</v>
      </c>
      <c r="R189">
        <v>3696.72</v>
      </c>
      <c r="S189">
        <v>4397.13</v>
      </c>
      <c r="T189">
        <v>92</v>
      </c>
      <c r="U189">
        <v>9469.7000000000007</v>
      </c>
      <c r="V189">
        <v>521.28</v>
      </c>
      <c r="W189">
        <v>8948.42</v>
      </c>
      <c r="X189">
        <v>2262.1799999999998</v>
      </c>
      <c r="Y189" t="s">
        <v>83</v>
      </c>
      <c r="Z189">
        <v>26382.78</v>
      </c>
      <c r="AA189">
        <v>4202.4600000000019</v>
      </c>
    </row>
    <row r="190" spans="1:27" x14ac:dyDescent="0.3">
      <c r="A190" t="s">
        <v>597</v>
      </c>
      <c r="B190" s="1">
        <v>45261</v>
      </c>
      <c r="C190" t="s">
        <v>598</v>
      </c>
      <c r="D190" t="s">
        <v>393</v>
      </c>
      <c r="E190">
        <v>5</v>
      </c>
      <c r="F190" t="s">
        <v>90</v>
      </c>
      <c r="G190">
        <v>21</v>
      </c>
      <c r="H190" t="s">
        <v>599</v>
      </c>
      <c r="I190" t="s">
        <v>80</v>
      </c>
      <c r="J190">
        <v>32</v>
      </c>
      <c r="K190" t="s">
        <v>53</v>
      </c>
      <c r="L190" t="s">
        <v>43</v>
      </c>
      <c r="M190" s="1">
        <v>45512</v>
      </c>
      <c r="N190" t="s">
        <v>44</v>
      </c>
      <c r="O190" t="s">
        <v>395</v>
      </c>
      <c r="P190" t="s">
        <v>35</v>
      </c>
      <c r="Q190" t="s">
        <v>111</v>
      </c>
      <c r="R190">
        <v>4793.34</v>
      </c>
      <c r="S190">
        <v>7058.65</v>
      </c>
      <c r="T190">
        <v>107</v>
      </c>
      <c r="U190">
        <v>1700</v>
      </c>
      <c r="V190">
        <v>115.39</v>
      </c>
      <c r="W190">
        <v>1584.61</v>
      </c>
      <c r="X190">
        <v>4886.4399999999996</v>
      </c>
      <c r="Y190" t="s">
        <v>83</v>
      </c>
      <c r="Z190">
        <v>35293.25</v>
      </c>
      <c r="AA190">
        <v>11326.549999999997</v>
      </c>
    </row>
    <row r="191" spans="1:27" x14ac:dyDescent="0.3">
      <c r="A191" t="s">
        <v>600</v>
      </c>
      <c r="B191" s="1">
        <v>45174</v>
      </c>
      <c r="C191" t="s">
        <v>601</v>
      </c>
      <c r="D191" t="s">
        <v>71</v>
      </c>
      <c r="E191">
        <v>5</v>
      </c>
      <c r="F191" t="s">
        <v>28</v>
      </c>
      <c r="G191">
        <v>18</v>
      </c>
      <c r="H191" t="s">
        <v>602</v>
      </c>
      <c r="I191" t="s">
        <v>80</v>
      </c>
      <c r="J191">
        <v>29</v>
      </c>
      <c r="K191" t="s">
        <v>31</v>
      </c>
      <c r="L191" t="s">
        <v>53</v>
      </c>
      <c r="M191" s="1">
        <v>44740</v>
      </c>
      <c r="N191" t="s">
        <v>54</v>
      </c>
      <c r="O191" t="s">
        <v>74</v>
      </c>
      <c r="P191" t="s">
        <v>35</v>
      </c>
      <c r="Q191" t="s">
        <v>36</v>
      </c>
      <c r="R191">
        <v>3231.26</v>
      </c>
      <c r="S191">
        <v>4308.05</v>
      </c>
      <c r="T191">
        <v>21</v>
      </c>
      <c r="U191">
        <v>18063.11</v>
      </c>
      <c r="V191">
        <v>251.96</v>
      </c>
      <c r="W191">
        <v>17811.150000000001</v>
      </c>
      <c r="X191">
        <v>1224.44</v>
      </c>
      <c r="Y191" t="s">
        <v>83</v>
      </c>
      <c r="Z191">
        <v>21540.25</v>
      </c>
      <c r="AA191">
        <v>5383.95</v>
      </c>
    </row>
    <row r="192" spans="1:27" x14ac:dyDescent="0.3">
      <c r="A192" t="s">
        <v>603</v>
      </c>
      <c r="B192" s="1">
        <v>44943</v>
      </c>
      <c r="C192" t="s">
        <v>415</v>
      </c>
      <c r="D192" t="s">
        <v>428</v>
      </c>
      <c r="E192">
        <v>2</v>
      </c>
      <c r="F192" t="s">
        <v>28</v>
      </c>
      <c r="G192">
        <v>22</v>
      </c>
      <c r="H192" t="s">
        <v>416</v>
      </c>
      <c r="I192" t="s">
        <v>30</v>
      </c>
      <c r="J192">
        <v>54</v>
      </c>
      <c r="K192" t="s">
        <v>155</v>
      </c>
      <c r="L192" t="s">
        <v>66</v>
      </c>
      <c r="M192" s="1">
        <v>45337</v>
      </c>
      <c r="N192" t="s">
        <v>54</v>
      </c>
      <c r="O192" t="s">
        <v>429</v>
      </c>
      <c r="P192" t="s">
        <v>110</v>
      </c>
      <c r="Q192" t="s">
        <v>46</v>
      </c>
      <c r="R192">
        <v>929.24</v>
      </c>
      <c r="S192">
        <v>1350.29</v>
      </c>
      <c r="T192">
        <v>22</v>
      </c>
      <c r="U192">
        <v>10015.959999999999</v>
      </c>
      <c r="V192">
        <v>1989.59</v>
      </c>
      <c r="W192">
        <v>8026.37</v>
      </c>
      <c r="X192">
        <v>458.46</v>
      </c>
      <c r="Y192" t="s">
        <v>83</v>
      </c>
      <c r="Z192">
        <v>2700.58</v>
      </c>
      <c r="AA192">
        <v>842.09999999999991</v>
      </c>
    </row>
    <row r="193" spans="1:27" x14ac:dyDescent="0.3">
      <c r="A193" t="s">
        <v>604</v>
      </c>
      <c r="B193" s="1">
        <v>45081</v>
      </c>
      <c r="C193" t="s">
        <v>605</v>
      </c>
      <c r="D193" t="s">
        <v>163</v>
      </c>
      <c r="E193">
        <v>5</v>
      </c>
      <c r="F193" t="s">
        <v>78</v>
      </c>
      <c r="G193">
        <v>22</v>
      </c>
      <c r="H193" t="s">
        <v>606</v>
      </c>
      <c r="I193" t="s">
        <v>80</v>
      </c>
      <c r="J193">
        <v>47</v>
      </c>
      <c r="K193" t="s">
        <v>65</v>
      </c>
      <c r="L193" t="s">
        <v>66</v>
      </c>
      <c r="M193" s="1">
        <v>44901</v>
      </c>
      <c r="N193" t="s">
        <v>44</v>
      </c>
      <c r="O193" t="s">
        <v>165</v>
      </c>
      <c r="P193" t="s">
        <v>94</v>
      </c>
      <c r="Q193" t="s">
        <v>120</v>
      </c>
      <c r="R193">
        <v>1733.92</v>
      </c>
      <c r="S193">
        <v>2099.92</v>
      </c>
      <c r="T193">
        <v>175</v>
      </c>
      <c r="U193">
        <v>744.09</v>
      </c>
      <c r="V193">
        <v>98.87</v>
      </c>
      <c r="W193">
        <v>645.22</v>
      </c>
      <c r="X193">
        <v>4057.79</v>
      </c>
      <c r="Y193" t="s">
        <v>37</v>
      </c>
      <c r="Z193">
        <v>10499.6</v>
      </c>
      <c r="AA193">
        <v>1830</v>
      </c>
    </row>
    <row r="194" spans="1:27" x14ac:dyDescent="0.3">
      <c r="A194" t="s">
        <v>607</v>
      </c>
      <c r="B194" s="1">
        <v>45140</v>
      </c>
      <c r="C194" t="s">
        <v>608</v>
      </c>
      <c r="D194" t="s">
        <v>106</v>
      </c>
      <c r="E194">
        <v>2</v>
      </c>
      <c r="F194" t="s">
        <v>28</v>
      </c>
      <c r="G194">
        <v>5</v>
      </c>
      <c r="H194" t="s">
        <v>609</v>
      </c>
      <c r="I194" t="s">
        <v>80</v>
      </c>
      <c r="J194">
        <v>38</v>
      </c>
      <c r="K194" t="s">
        <v>60</v>
      </c>
      <c r="L194" t="s">
        <v>53</v>
      </c>
      <c r="M194" s="1">
        <v>44660</v>
      </c>
      <c r="N194" t="s">
        <v>33</v>
      </c>
      <c r="O194" t="s">
        <v>109</v>
      </c>
      <c r="P194" t="s">
        <v>110</v>
      </c>
      <c r="Q194" t="s">
        <v>111</v>
      </c>
      <c r="R194">
        <v>1622.17</v>
      </c>
      <c r="S194">
        <v>1993.72</v>
      </c>
      <c r="T194">
        <v>262</v>
      </c>
      <c r="U194">
        <v>3666.78</v>
      </c>
      <c r="V194">
        <v>655.87</v>
      </c>
      <c r="W194">
        <v>3010.91</v>
      </c>
      <c r="X194">
        <v>1157.1600000000001</v>
      </c>
      <c r="Y194" t="s">
        <v>56</v>
      </c>
      <c r="Z194">
        <v>3987.44</v>
      </c>
      <c r="AA194">
        <v>743.09999999999991</v>
      </c>
    </row>
    <row r="195" spans="1:27" x14ac:dyDescent="0.3">
      <c r="A195" t="s">
        <v>610</v>
      </c>
      <c r="B195" s="1">
        <v>45170</v>
      </c>
      <c r="C195" t="s">
        <v>611</v>
      </c>
      <c r="D195" t="s">
        <v>207</v>
      </c>
      <c r="E195">
        <v>6</v>
      </c>
      <c r="F195" t="s">
        <v>28</v>
      </c>
      <c r="G195">
        <v>6</v>
      </c>
      <c r="H195" t="s">
        <v>612</v>
      </c>
      <c r="I195" t="s">
        <v>80</v>
      </c>
      <c r="J195">
        <v>26</v>
      </c>
      <c r="K195" t="s">
        <v>73</v>
      </c>
      <c r="L195" t="s">
        <v>108</v>
      </c>
      <c r="M195" s="1">
        <v>45239</v>
      </c>
      <c r="N195" t="s">
        <v>33</v>
      </c>
      <c r="O195" t="s">
        <v>209</v>
      </c>
      <c r="P195" t="s">
        <v>35</v>
      </c>
      <c r="Q195" t="s">
        <v>46</v>
      </c>
      <c r="R195">
        <v>4764.59</v>
      </c>
      <c r="S195">
        <v>5703.68</v>
      </c>
      <c r="T195">
        <v>87</v>
      </c>
      <c r="U195">
        <v>12726.88</v>
      </c>
      <c r="V195">
        <v>1906.92</v>
      </c>
      <c r="W195">
        <v>10819.96</v>
      </c>
      <c r="X195">
        <v>3645.96</v>
      </c>
      <c r="Y195" t="s">
        <v>47</v>
      </c>
      <c r="Z195">
        <v>34222.080000000002</v>
      </c>
      <c r="AA195">
        <v>5634.5400000000009</v>
      </c>
    </row>
    <row r="196" spans="1:27" x14ac:dyDescent="0.3">
      <c r="A196" t="s">
        <v>613</v>
      </c>
      <c r="B196" s="1">
        <v>45117</v>
      </c>
      <c r="C196" t="s">
        <v>614</v>
      </c>
      <c r="D196" t="s">
        <v>117</v>
      </c>
      <c r="E196">
        <v>3</v>
      </c>
      <c r="F196" t="s">
        <v>51</v>
      </c>
      <c r="G196">
        <v>20</v>
      </c>
      <c r="H196" t="s">
        <v>615</v>
      </c>
      <c r="I196" t="s">
        <v>80</v>
      </c>
      <c r="J196">
        <v>37</v>
      </c>
      <c r="K196" t="s">
        <v>53</v>
      </c>
      <c r="L196" t="s">
        <v>32</v>
      </c>
      <c r="M196" s="1">
        <v>45035</v>
      </c>
      <c r="N196" t="s">
        <v>44</v>
      </c>
      <c r="O196" t="s">
        <v>119</v>
      </c>
      <c r="P196" t="s">
        <v>110</v>
      </c>
      <c r="Q196" t="s">
        <v>120</v>
      </c>
      <c r="R196">
        <v>1390.81</v>
      </c>
      <c r="S196">
        <v>1874.61</v>
      </c>
      <c r="T196">
        <v>262</v>
      </c>
      <c r="U196">
        <v>2869.89</v>
      </c>
      <c r="V196">
        <v>175.56</v>
      </c>
      <c r="W196">
        <v>2694.33</v>
      </c>
      <c r="X196">
        <v>4642.92</v>
      </c>
      <c r="Y196" t="s">
        <v>47</v>
      </c>
      <c r="Z196">
        <v>5623.83</v>
      </c>
      <c r="AA196">
        <v>1451.3999999999999</v>
      </c>
    </row>
    <row r="197" spans="1:27" x14ac:dyDescent="0.3">
      <c r="A197" t="s">
        <v>616</v>
      </c>
      <c r="B197" s="1">
        <v>44974</v>
      </c>
      <c r="C197" t="s">
        <v>617</v>
      </c>
      <c r="D197" t="s">
        <v>223</v>
      </c>
      <c r="E197">
        <v>4</v>
      </c>
      <c r="F197" t="s">
        <v>90</v>
      </c>
      <c r="G197">
        <v>4</v>
      </c>
      <c r="H197" t="s">
        <v>618</v>
      </c>
      <c r="I197" t="s">
        <v>30</v>
      </c>
      <c r="J197">
        <v>56</v>
      </c>
      <c r="K197" t="s">
        <v>31</v>
      </c>
      <c r="L197" t="s">
        <v>81</v>
      </c>
      <c r="M197" s="1">
        <v>44749</v>
      </c>
      <c r="N197" t="s">
        <v>44</v>
      </c>
      <c r="O197" t="s">
        <v>224</v>
      </c>
      <c r="P197" t="s">
        <v>35</v>
      </c>
      <c r="Q197" t="s">
        <v>111</v>
      </c>
      <c r="R197">
        <v>3470.49</v>
      </c>
      <c r="S197">
        <v>5407.89</v>
      </c>
      <c r="T197">
        <v>141</v>
      </c>
      <c r="U197">
        <v>17287.689999999999</v>
      </c>
      <c r="V197">
        <v>1667.65</v>
      </c>
      <c r="W197">
        <v>15620.04</v>
      </c>
      <c r="X197">
        <v>688.79</v>
      </c>
      <c r="Y197" t="s">
        <v>83</v>
      </c>
      <c r="Z197">
        <v>21631.56</v>
      </c>
      <c r="AA197">
        <v>7749.6000000000022</v>
      </c>
    </row>
    <row r="198" spans="1:27" x14ac:dyDescent="0.3">
      <c r="A198" t="s">
        <v>619</v>
      </c>
      <c r="B198" s="1">
        <v>45156</v>
      </c>
      <c r="C198" t="s">
        <v>620</v>
      </c>
      <c r="D198" t="s">
        <v>117</v>
      </c>
      <c r="E198">
        <v>4</v>
      </c>
      <c r="F198" t="s">
        <v>51</v>
      </c>
      <c r="G198">
        <v>9</v>
      </c>
      <c r="H198" t="s">
        <v>621</v>
      </c>
      <c r="I198" t="s">
        <v>30</v>
      </c>
      <c r="J198">
        <v>20</v>
      </c>
      <c r="K198" t="s">
        <v>92</v>
      </c>
      <c r="L198" t="s">
        <v>53</v>
      </c>
      <c r="M198" s="1">
        <v>45758</v>
      </c>
      <c r="N198" t="s">
        <v>44</v>
      </c>
      <c r="O198" t="s">
        <v>119</v>
      </c>
      <c r="P198" t="s">
        <v>110</v>
      </c>
      <c r="Q198" t="s">
        <v>120</v>
      </c>
      <c r="R198">
        <v>1390.81</v>
      </c>
      <c r="S198">
        <v>1874.61</v>
      </c>
      <c r="T198">
        <v>262</v>
      </c>
      <c r="U198">
        <v>19861.650000000001</v>
      </c>
      <c r="V198">
        <v>243.27</v>
      </c>
      <c r="W198">
        <v>19618.38</v>
      </c>
      <c r="X198">
        <v>2529.31</v>
      </c>
      <c r="Y198" t="s">
        <v>47</v>
      </c>
      <c r="Z198">
        <v>7498.44</v>
      </c>
      <c r="AA198">
        <v>1935.1999999999998</v>
      </c>
    </row>
    <row r="199" spans="1:27" x14ac:dyDescent="0.3">
      <c r="A199" t="s">
        <v>622</v>
      </c>
      <c r="B199" s="1">
        <v>44989</v>
      </c>
      <c r="C199" t="s">
        <v>438</v>
      </c>
      <c r="D199" t="s">
        <v>223</v>
      </c>
      <c r="E199">
        <v>6</v>
      </c>
      <c r="F199" t="s">
        <v>90</v>
      </c>
      <c r="G199">
        <v>18</v>
      </c>
      <c r="H199" t="s">
        <v>439</v>
      </c>
      <c r="I199" t="s">
        <v>30</v>
      </c>
      <c r="J199">
        <v>57</v>
      </c>
      <c r="K199" t="s">
        <v>53</v>
      </c>
      <c r="L199" t="s">
        <v>43</v>
      </c>
      <c r="M199" s="1">
        <v>45545</v>
      </c>
      <c r="N199" t="s">
        <v>33</v>
      </c>
      <c r="O199" t="s">
        <v>224</v>
      </c>
      <c r="P199" t="s">
        <v>35</v>
      </c>
      <c r="Q199" t="s">
        <v>111</v>
      </c>
      <c r="R199">
        <v>3470.49</v>
      </c>
      <c r="S199">
        <v>5407.89</v>
      </c>
      <c r="T199">
        <v>141</v>
      </c>
      <c r="U199">
        <v>5126.92</v>
      </c>
      <c r="V199">
        <v>1065.1500000000001</v>
      </c>
      <c r="W199">
        <v>4061.77</v>
      </c>
      <c r="X199">
        <v>1561.34</v>
      </c>
      <c r="Y199" t="s">
        <v>37</v>
      </c>
      <c r="Z199">
        <v>32447.340000000004</v>
      </c>
      <c r="AA199">
        <v>11624.400000000003</v>
      </c>
    </row>
    <row r="200" spans="1:27" x14ac:dyDescent="0.3">
      <c r="A200" t="s">
        <v>623</v>
      </c>
      <c r="B200" s="1">
        <v>45057</v>
      </c>
      <c r="C200" t="s">
        <v>624</v>
      </c>
      <c r="D200" t="s">
        <v>207</v>
      </c>
      <c r="E200">
        <v>4</v>
      </c>
      <c r="F200" t="s">
        <v>78</v>
      </c>
      <c r="G200">
        <v>11</v>
      </c>
      <c r="H200" t="s">
        <v>625</v>
      </c>
      <c r="I200" t="s">
        <v>30</v>
      </c>
      <c r="J200">
        <v>39</v>
      </c>
      <c r="K200" t="s">
        <v>92</v>
      </c>
      <c r="L200" t="s">
        <v>32</v>
      </c>
      <c r="M200" s="1">
        <v>45728</v>
      </c>
      <c r="N200" t="s">
        <v>44</v>
      </c>
      <c r="O200" t="s">
        <v>209</v>
      </c>
      <c r="P200" t="s">
        <v>35</v>
      </c>
      <c r="Q200" t="s">
        <v>46</v>
      </c>
      <c r="R200">
        <v>4764.59</v>
      </c>
      <c r="S200">
        <v>5703.68</v>
      </c>
      <c r="T200">
        <v>87</v>
      </c>
      <c r="U200">
        <v>16261.39</v>
      </c>
      <c r="V200">
        <v>1072.55</v>
      </c>
      <c r="W200">
        <v>15188.84</v>
      </c>
      <c r="X200">
        <v>2462.59</v>
      </c>
      <c r="Y200" t="s">
        <v>47</v>
      </c>
      <c r="Z200">
        <v>22814.720000000001</v>
      </c>
      <c r="AA200">
        <v>3756.3600000000006</v>
      </c>
    </row>
    <row r="201" spans="1:27" x14ac:dyDescent="0.3">
      <c r="A201" t="s">
        <v>626</v>
      </c>
      <c r="B201" s="1">
        <v>45228</v>
      </c>
      <c r="C201" t="s">
        <v>501</v>
      </c>
      <c r="D201" t="s">
        <v>236</v>
      </c>
      <c r="E201">
        <v>6</v>
      </c>
      <c r="F201" t="s">
        <v>51</v>
      </c>
      <c r="G201">
        <v>22</v>
      </c>
      <c r="H201" t="s">
        <v>502</v>
      </c>
      <c r="I201" t="s">
        <v>80</v>
      </c>
      <c r="J201">
        <v>34</v>
      </c>
      <c r="K201" t="s">
        <v>92</v>
      </c>
      <c r="L201" t="s">
        <v>43</v>
      </c>
      <c r="M201" s="1">
        <v>45698</v>
      </c>
      <c r="N201" t="s">
        <v>44</v>
      </c>
      <c r="O201" t="s">
        <v>238</v>
      </c>
      <c r="P201" t="s">
        <v>68</v>
      </c>
      <c r="Q201" t="s">
        <v>120</v>
      </c>
      <c r="R201">
        <v>3957.37</v>
      </c>
      <c r="S201">
        <v>5045.3500000000004</v>
      </c>
      <c r="T201">
        <v>227</v>
      </c>
      <c r="U201">
        <v>3275.69</v>
      </c>
      <c r="V201">
        <v>781.86</v>
      </c>
      <c r="W201">
        <v>2493.83</v>
      </c>
      <c r="X201">
        <v>1884.2</v>
      </c>
      <c r="Y201" t="s">
        <v>47</v>
      </c>
      <c r="Z201">
        <v>30272.100000000002</v>
      </c>
      <c r="AA201">
        <v>6527.8800000000028</v>
      </c>
    </row>
    <row r="202" spans="1:27" x14ac:dyDescent="0.3">
      <c r="A202" t="s">
        <v>627</v>
      </c>
      <c r="B202" s="1">
        <v>45025</v>
      </c>
      <c r="C202" t="s">
        <v>481</v>
      </c>
      <c r="D202" t="s">
        <v>246</v>
      </c>
      <c r="E202">
        <v>5</v>
      </c>
      <c r="F202" t="s">
        <v>28</v>
      </c>
      <c r="G202">
        <v>4</v>
      </c>
      <c r="H202" t="s">
        <v>482</v>
      </c>
      <c r="I202" t="s">
        <v>80</v>
      </c>
      <c r="J202">
        <v>25</v>
      </c>
      <c r="K202" t="s">
        <v>53</v>
      </c>
      <c r="L202" t="s">
        <v>108</v>
      </c>
      <c r="M202" s="1">
        <v>45315</v>
      </c>
      <c r="N202" t="s">
        <v>33</v>
      </c>
      <c r="O202" t="s">
        <v>247</v>
      </c>
      <c r="P202" t="s">
        <v>110</v>
      </c>
      <c r="Q202" t="s">
        <v>120</v>
      </c>
      <c r="R202">
        <v>4133.24</v>
      </c>
      <c r="S202">
        <v>6302.13</v>
      </c>
      <c r="T202">
        <v>299</v>
      </c>
      <c r="U202">
        <v>18515.43</v>
      </c>
      <c r="V202">
        <v>362.71</v>
      </c>
      <c r="W202">
        <v>18152.72</v>
      </c>
      <c r="X202">
        <v>4494.16</v>
      </c>
      <c r="Y202" t="s">
        <v>56</v>
      </c>
      <c r="Z202">
        <v>31510.65</v>
      </c>
      <c r="AA202">
        <v>10844.45</v>
      </c>
    </row>
    <row r="203" spans="1:27" x14ac:dyDescent="0.3">
      <c r="A203" t="s">
        <v>628</v>
      </c>
      <c r="B203" s="1">
        <v>45192</v>
      </c>
      <c r="C203" t="s">
        <v>548</v>
      </c>
      <c r="D203" t="s">
        <v>408</v>
      </c>
      <c r="E203">
        <v>5</v>
      </c>
      <c r="F203" t="s">
        <v>51</v>
      </c>
      <c r="G203">
        <v>10</v>
      </c>
      <c r="H203" t="s">
        <v>549</v>
      </c>
      <c r="I203" t="s">
        <v>80</v>
      </c>
      <c r="J203">
        <v>50</v>
      </c>
      <c r="K203" t="s">
        <v>92</v>
      </c>
      <c r="L203" t="s">
        <v>66</v>
      </c>
      <c r="M203" s="1">
        <v>44953</v>
      </c>
      <c r="N203" t="s">
        <v>44</v>
      </c>
      <c r="O203" t="s">
        <v>410</v>
      </c>
      <c r="P203" t="s">
        <v>68</v>
      </c>
      <c r="Q203" t="s">
        <v>46</v>
      </c>
      <c r="R203">
        <v>2025.88</v>
      </c>
      <c r="S203">
        <v>2513.29</v>
      </c>
      <c r="T203">
        <v>67</v>
      </c>
      <c r="U203">
        <v>6558.78</v>
      </c>
      <c r="V203">
        <v>89.48</v>
      </c>
      <c r="W203">
        <v>6469.3</v>
      </c>
      <c r="X203">
        <v>2507.48</v>
      </c>
      <c r="Y203" t="s">
        <v>37</v>
      </c>
      <c r="Z203">
        <v>12566.45</v>
      </c>
      <c r="AA203">
        <v>2437.0499999999993</v>
      </c>
    </row>
    <row r="204" spans="1:27" x14ac:dyDescent="0.3">
      <c r="A204" t="s">
        <v>629</v>
      </c>
      <c r="B204" s="1">
        <v>45218</v>
      </c>
      <c r="C204" t="s">
        <v>630</v>
      </c>
      <c r="D204" t="s">
        <v>102</v>
      </c>
      <c r="E204">
        <v>6</v>
      </c>
      <c r="F204" t="s">
        <v>90</v>
      </c>
      <c r="G204">
        <v>24</v>
      </c>
      <c r="H204" t="s">
        <v>631</v>
      </c>
      <c r="I204" t="s">
        <v>30</v>
      </c>
      <c r="J204">
        <v>45</v>
      </c>
      <c r="K204" t="s">
        <v>73</v>
      </c>
      <c r="L204" t="s">
        <v>32</v>
      </c>
      <c r="M204" s="1">
        <v>44941</v>
      </c>
      <c r="N204" t="s">
        <v>54</v>
      </c>
      <c r="O204" t="s">
        <v>103</v>
      </c>
      <c r="P204" t="s">
        <v>94</v>
      </c>
      <c r="Q204" t="s">
        <v>46</v>
      </c>
      <c r="R204">
        <v>4398.43</v>
      </c>
      <c r="S204">
        <v>6683.28</v>
      </c>
      <c r="T204">
        <v>152</v>
      </c>
      <c r="U204">
        <v>1853.57</v>
      </c>
      <c r="V204">
        <v>431.72</v>
      </c>
      <c r="W204">
        <v>1421.85</v>
      </c>
      <c r="X204">
        <v>2761.47</v>
      </c>
      <c r="Y204" t="s">
        <v>56</v>
      </c>
      <c r="Z204">
        <v>40099.68</v>
      </c>
      <c r="AA204">
        <v>13709.099999999997</v>
      </c>
    </row>
    <row r="205" spans="1:27" x14ac:dyDescent="0.3">
      <c r="A205" t="s">
        <v>632</v>
      </c>
      <c r="B205" s="1">
        <v>45113</v>
      </c>
      <c r="C205" t="s">
        <v>633</v>
      </c>
      <c r="D205" t="s">
        <v>276</v>
      </c>
      <c r="E205">
        <v>4</v>
      </c>
      <c r="F205" t="s">
        <v>90</v>
      </c>
      <c r="G205">
        <v>13</v>
      </c>
      <c r="H205" t="s">
        <v>634</v>
      </c>
      <c r="I205" t="s">
        <v>80</v>
      </c>
      <c r="J205">
        <v>60</v>
      </c>
      <c r="K205" t="s">
        <v>53</v>
      </c>
      <c r="L205" t="s">
        <v>43</v>
      </c>
      <c r="M205" s="1">
        <v>45017</v>
      </c>
      <c r="N205" t="s">
        <v>54</v>
      </c>
      <c r="O205" t="s">
        <v>278</v>
      </c>
      <c r="P205" t="s">
        <v>35</v>
      </c>
      <c r="Q205" t="s">
        <v>111</v>
      </c>
      <c r="R205">
        <v>3479.48</v>
      </c>
      <c r="S205">
        <v>5364.57</v>
      </c>
      <c r="T205">
        <v>41</v>
      </c>
      <c r="U205">
        <v>5743.66</v>
      </c>
      <c r="V205">
        <v>98.06</v>
      </c>
      <c r="W205">
        <v>5645.6</v>
      </c>
      <c r="X205">
        <v>104.63</v>
      </c>
      <c r="Y205" t="s">
        <v>37</v>
      </c>
      <c r="Z205">
        <v>21458.28</v>
      </c>
      <c r="AA205">
        <v>7540.3599999999988</v>
      </c>
    </row>
    <row r="206" spans="1:27" x14ac:dyDescent="0.3">
      <c r="A206" t="s">
        <v>635</v>
      </c>
      <c r="B206" s="1">
        <v>45060</v>
      </c>
      <c r="C206" t="s">
        <v>636</v>
      </c>
      <c r="D206" t="s">
        <v>448</v>
      </c>
      <c r="E206">
        <v>6</v>
      </c>
      <c r="F206" t="s">
        <v>78</v>
      </c>
      <c r="G206">
        <v>19</v>
      </c>
      <c r="H206" t="s">
        <v>637</v>
      </c>
      <c r="I206" t="s">
        <v>30</v>
      </c>
      <c r="J206">
        <v>46</v>
      </c>
      <c r="K206" t="s">
        <v>155</v>
      </c>
      <c r="L206" t="s">
        <v>53</v>
      </c>
      <c r="M206" s="1">
        <v>44749</v>
      </c>
      <c r="N206" t="s">
        <v>44</v>
      </c>
      <c r="O206" t="s">
        <v>449</v>
      </c>
      <c r="P206" t="s">
        <v>110</v>
      </c>
      <c r="Q206" t="s">
        <v>120</v>
      </c>
      <c r="R206">
        <v>4836.3999999999996</v>
      </c>
      <c r="S206">
        <v>7004.05</v>
      </c>
      <c r="T206">
        <v>98</v>
      </c>
      <c r="U206">
        <v>13602.25</v>
      </c>
      <c r="V206">
        <v>98.93</v>
      </c>
      <c r="W206">
        <v>13503.32</v>
      </c>
      <c r="X206">
        <v>1879.58</v>
      </c>
      <c r="Y206" t="s">
        <v>37</v>
      </c>
      <c r="Z206">
        <v>42024.3</v>
      </c>
      <c r="AA206">
        <v>13005.900000000003</v>
      </c>
    </row>
    <row r="207" spans="1:27" x14ac:dyDescent="0.3">
      <c r="A207" t="s">
        <v>638</v>
      </c>
      <c r="B207" s="1">
        <v>45263</v>
      </c>
      <c r="C207" t="s">
        <v>639</v>
      </c>
      <c r="D207" t="s">
        <v>510</v>
      </c>
      <c r="E207">
        <v>2</v>
      </c>
      <c r="F207" t="s">
        <v>51</v>
      </c>
      <c r="G207">
        <v>8</v>
      </c>
      <c r="H207" t="s">
        <v>640</v>
      </c>
      <c r="I207" t="s">
        <v>80</v>
      </c>
      <c r="J207">
        <v>53</v>
      </c>
      <c r="K207" t="s">
        <v>65</v>
      </c>
      <c r="L207" t="s">
        <v>53</v>
      </c>
      <c r="M207" s="1">
        <v>44739</v>
      </c>
      <c r="N207" t="s">
        <v>33</v>
      </c>
      <c r="O207" t="s">
        <v>512</v>
      </c>
      <c r="P207" t="s">
        <v>110</v>
      </c>
      <c r="Q207" t="s">
        <v>36</v>
      </c>
      <c r="R207">
        <v>952.01</v>
      </c>
      <c r="S207">
        <v>1107.5</v>
      </c>
      <c r="T207">
        <v>162</v>
      </c>
      <c r="U207">
        <v>8132.15</v>
      </c>
      <c r="V207">
        <v>1161.55</v>
      </c>
      <c r="W207">
        <v>6970.6</v>
      </c>
      <c r="X207">
        <v>2384.83</v>
      </c>
      <c r="Y207" t="s">
        <v>47</v>
      </c>
      <c r="Z207">
        <v>2215</v>
      </c>
      <c r="AA207">
        <v>310.98</v>
      </c>
    </row>
    <row r="208" spans="1:27" x14ac:dyDescent="0.3">
      <c r="A208" t="s">
        <v>641</v>
      </c>
      <c r="B208" s="1">
        <v>45190</v>
      </c>
      <c r="C208" t="s">
        <v>642</v>
      </c>
      <c r="D208" t="s">
        <v>71</v>
      </c>
      <c r="E208">
        <v>4</v>
      </c>
      <c r="F208" t="s">
        <v>90</v>
      </c>
      <c r="G208">
        <v>18</v>
      </c>
      <c r="H208" t="s">
        <v>643</v>
      </c>
      <c r="I208" t="s">
        <v>30</v>
      </c>
      <c r="J208">
        <v>53</v>
      </c>
      <c r="K208" t="s">
        <v>155</v>
      </c>
      <c r="L208" t="s">
        <v>81</v>
      </c>
      <c r="M208" s="1">
        <v>45242</v>
      </c>
      <c r="N208" t="s">
        <v>44</v>
      </c>
      <c r="O208" t="s">
        <v>74</v>
      </c>
      <c r="P208" t="s">
        <v>35</v>
      </c>
      <c r="Q208" t="s">
        <v>36</v>
      </c>
      <c r="R208">
        <v>3231.26</v>
      </c>
      <c r="S208">
        <v>4308.05</v>
      </c>
      <c r="T208">
        <v>21</v>
      </c>
      <c r="U208">
        <v>9164.26</v>
      </c>
      <c r="V208">
        <v>1081.94</v>
      </c>
      <c r="W208">
        <v>8082.32</v>
      </c>
      <c r="X208">
        <v>1421.55</v>
      </c>
      <c r="Y208" t="s">
        <v>83</v>
      </c>
      <c r="Z208">
        <v>17232.2</v>
      </c>
      <c r="AA208">
        <v>4307.16</v>
      </c>
    </row>
    <row r="209" spans="1:27" x14ac:dyDescent="0.3">
      <c r="A209" t="s">
        <v>644</v>
      </c>
      <c r="B209" s="1">
        <v>45196</v>
      </c>
      <c r="C209" t="s">
        <v>487</v>
      </c>
      <c r="D209" t="s">
        <v>197</v>
      </c>
      <c r="E209">
        <v>6</v>
      </c>
      <c r="F209" t="s">
        <v>78</v>
      </c>
      <c r="G209">
        <v>14</v>
      </c>
      <c r="H209" t="s">
        <v>488</v>
      </c>
      <c r="I209" t="s">
        <v>30</v>
      </c>
      <c r="J209">
        <v>41</v>
      </c>
      <c r="K209" t="s">
        <v>155</v>
      </c>
      <c r="L209" t="s">
        <v>53</v>
      </c>
      <c r="M209" s="1">
        <v>44861</v>
      </c>
      <c r="N209" t="s">
        <v>44</v>
      </c>
      <c r="O209" t="s">
        <v>199</v>
      </c>
      <c r="P209" t="s">
        <v>35</v>
      </c>
      <c r="Q209" t="s">
        <v>46</v>
      </c>
      <c r="R209">
        <v>1612.7</v>
      </c>
      <c r="S209">
        <v>1932.63</v>
      </c>
      <c r="T209">
        <v>278</v>
      </c>
      <c r="U209">
        <v>18551.849999999999</v>
      </c>
      <c r="V209">
        <v>4154.88</v>
      </c>
      <c r="W209">
        <v>14396.97</v>
      </c>
      <c r="X209">
        <v>472.37</v>
      </c>
      <c r="Y209" t="s">
        <v>56</v>
      </c>
      <c r="Z209">
        <v>11595.78</v>
      </c>
      <c r="AA209">
        <v>1919.5800000000004</v>
      </c>
    </row>
    <row r="210" spans="1:27" x14ac:dyDescent="0.3">
      <c r="A210" t="s">
        <v>645</v>
      </c>
      <c r="B210" s="1">
        <v>45075</v>
      </c>
      <c r="C210" t="s">
        <v>646</v>
      </c>
      <c r="D210" t="s">
        <v>226</v>
      </c>
      <c r="E210">
        <v>3</v>
      </c>
      <c r="F210" t="s">
        <v>78</v>
      </c>
      <c r="G210">
        <v>15</v>
      </c>
      <c r="H210" t="s">
        <v>647</v>
      </c>
      <c r="I210" t="s">
        <v>30</v>
      </c>
      <c r="J210">
        <v>42</v>
      </c>
      <c r="K210" t="s">
        <v>92</v>
      </c>
      <c r="L210" t="s">
        <v>53</v>
      </c>
      <c r="M210" s="1">
        <v>45086</v>
      </c>
      <c r="N210" t="s">
        <v>33</v>
      </c>
      <c r="O210" t="s">
        <v>227</v>
      </c>
      <c r="P210" t="s">
        <v>35</v>
      </c>
      <c r="Q210" t="s">
        <v>111</v>
      </c>
      <c r="R210">
        <v>762.02</v>
      </c>
      <c r="S210">
        <v>1161.9100000000001</v>
      </c>
      <c r="T210">
        <v>293</v>
      </c>
      <c r="U210">
        <v>14411.98</v>
      </c>
      <c r="V210">
        <v>3456.94</v>
      </c>
      <c r="W210">
        <v>10955.04</v>
      </c>
      <c r="X210">
        <v>464.95</v>
      </c>
      <c r="Y210" t="s">
        <v>56</v>
      </c>
      <c r="Z210">
        <v>3485.7300000000005</v>
      </c>
      <c r="AA210">
        <v>1199.6700000000003</v>
      </c>
    </row>
    <row r="211" spans="1:27" x14ac:dyDescent="0.3">
      <c r="A211" t="s">
        <v>648</v>
      </c>
      <c r="B211" s="1">
        <v>45219</v>
      </c>
      <c r="C211" t="s">
        <v>649</v>
      </c>
      <c r="D211" t="s">
        <v>650</v>
      </c>
      <c r="E211">
        <v>2</v>
      </c>
      <c r="F211" t="s">
        <v>90</v>
      </c>
      <c r="G211">
        <v>24</v>
      </c>
      <c r="H211" t="s">
        <v>651</v>
      </c>
      <c r="I211" t="s">
        <v>80</v>
      </c>
      <c r="J211">
        <v>21</v>
      </c>
      <c r="K211" t="s">
        <v>92</v>
      </c>
      <c r="L211" t="s">
        <v>81</v>
      </c>
      <c r="M211" s="1">
        <v>45497</v>
      </c>
      <c r="N211" t="s">
        <v>33</v>
      </c>
      <c r="O211" t="s">
        <v>652</v>
      </c>
      <c r="P211" t="s">
        <v>110</v>
      </c>
      <c r="Q211" t="s">
        <v>46</v>
      </c>
      <c r="R211">
        <v>4581.92</v>
      </c>
      <c r="S211">
        <v>5789.36</v>
      </c>
      <c r="T211">
        <v>140</v>
      </c>
      <c r="U211">
        <v>14327.18</v>
      </c>
      <c r="V211">
        <v>2305.98</v>
      </c>
      <c r="W211">
        <v>12021.2</v>
      </c>
      <c r="X211">
        <v>4679.66</v>
      </c>
      <c r="Y211" t="s">
        <v>56</v>
      </c>
      <c r="Z211">
        <v>11578.72</v>
      </c>
      <c r="AA211">
        <v>2414.8799999999992</v>
      </c>
    </row>
    <row r="212" spans="1:27" x14ac:dyDescent="0.3">
      <c r="A212" t="s">
        <v>653</v>
      </c>
      <c r="B212" s="1">
        <v>45284</v>
      </c>
      <c r="C212" t="s">
        <v>646</v>
      </c>
      <c r="D212" t="s">
        <v>183</v>
      </c>
      <c r="E212">
        <v>2</v>
      </c>
      <c r="F212" t="s">
        <v>51</v>
      </c>
      <c r="G212">
        <v>10</v>
      </c>
      <c r="H212" t="s">
        <v>647</v>
      </c>
      <c r="I212" t="s">
        <v>30</v>
      </c>
      <c r="J212">
        <v>42</v>
      </c>
      <c r="K212" t="s">
        <v>92</v>
      </c>
      <c r="L212" t="s">
        <v>53</v>
      </c>
      <c r="M212" s="1">
        <v>45086</v>
      </c>
      <c r="N212" t="s">
        <v>33</v>
      </c>
      <c r="O212" t="s">
        <v>185</v>
      </c>
      <c r="P212" t="s">
        <v>110</v>
      </c>
      <c r="Q212" t="s">
        <v>36</v>
      </c>
      <c r="R212">
        <v>1358.27</v>
      </c>
      <c r="S212">
        <v>1886.86</v>
      </c>
      <c r="T212">
        <v>153</v>
      </c>
      <c r="U212">
        <v>1793.13</v>
      </c>
      <c r="V212">
        <v>37.549999999999997</v>
      </c>
      <c r="W212">
        <v>1755.58</v>
      </c>
      <c r="X212">
        <v>2906.56</v>
      </c>
      <c r="Y212" t="s">
        <v>37</v>
      </c>
      <c r="Z212">
        <v>3773.72</v>
      </c>
      <c r="AA212">
        <v>1057.1799999999998</v>
      </c>
    </row>
    <row r="213" spans="1:27" x14ac:dyDescent="0.3">
      <c r="A213" t="s">
        <v>654</v>
      </c>
      <c r="B213" s="1">
        <v>45035</v>
      </c>
      <c r="C213" t="s">
        <v>655</v>
      </c>
      <c r="D213" t="s">
        <v>272</v>
      </c>
      <c r="E213">
        <v>4</v>
      </c>
      <c r="F213" t="s">
        <v>90</v>
      </c>
      <c r="G213">
        <v>9</v>
      </c>
      <c r="H213" t="s">
        <v>656</v>
      </c>
      <c r="I213" t="s">
        <v>30</v>
      </c>
      <c r="J213">
        <v>30</v>
      </c>
      <c r="K213" t="s">
        <v>92</v>
      </c>
      <c r="L213" t="s">
        <v>108</v>
      </c>
      <c r="M213" s="1">
        <v>44565</v>
      </c>
      <c r="N213" t="s">
        <v>44</v>
      </c>
      <c r="O213" t="s">
        <v>273</v>
      </c>
      <c r="P213" t="s">
        <v>68</v>
      </c>
      <c r="Q213" t="s">
        <v>111</v>
      </c>
      <c r="R213">
        <v>1137.26</v>
      </c>
      <c r="S213">
        <v>1649.58</v>
      </c>
      <c r="T213">
        <v>243</v>
      </c>
      <c r="U213">
        <v>1393.52</v>
      </c>
      <c r="V213">
        <v>317.05</v>
      </c>
      <c r="W213">
        <v>1076.47</v>
      </c>
      <c r="X213">
        <v>2277.13</v>
      </c>
      <c r="Y213" t="s">
        <v>47</v>
      </c>
      <c r="Z213">
        <v>6598.32</v>
      </c>
      <c r="AA213">
        <v>2049.2799999999997</v>
      </c>
    </row>
    <row r="214" spans="1:27" x14ac:dyDescent="0.3">
      <c r="A214" t="s">
        <v>657</v>
      </c>
      <c r="B214" s="1">
        <v>45178</v>
      </c>
      <c r="C214" t="s">
        <v>658</v>
      </c>
      <c r="D214" t="s">
        <v>197</v>
      </c>
      <c r="E214">
        <v>5</v>
      </c>
      <c r="F214" t="s">
        <v>90</v>
      </c>
      <c r="G214">
        <v>8</v>
      </c>
      <c r="H214" t="s">
        <v>659</v>
      </c>
      <c r="I214" t="s">
        <v>80</v>
      </c>
      <c r="J214">
        <v>45</v>
      </c>
      <c r="K214" t="s">
        <v>42</v>
      </c>
      <c r="L214" t="s">
        <v>53</v>
      </c>
      <c r="M214" s="1">
        <v>44838</v>
      </c>
      <c r="N214" t="s">
        <v>54</v>
      </c>
      <c r="O214" t="s">
        <v>199</v>
      </c>
      <c r="P214" t="s">
        <v>35</v>
      </c>
      <c r="Q214" t="s">
        <v>46</v>
      </c>
      <c r="R214">
        <v>1612.7</v>
      </c>
      <c r="S214">
        <v>1932.63</v>
      </c>
      <c r="T214">
        <v>278</v>
      </c>
      <c r="U214">
        <v>15285.1</v>
      </c>
      <c r="V214">
        <v>1621.72</v>
      </c>
      <c r="W214">
        <v>13663.38</v>
      </c>
      <c r="X214">
        <v>1390.31</v>
      </c>
      <c r="Y214" t="s">
        <v>37</v>
      </c>
      <c r="Z214">
        <v>9663.1500000000015</v>
      </c>
      <c r="AA214">
        <v>1599.6500000000003</v>
      </c>
    </row>
    <row r="215" spans="1:27" x14ac:dyDescent="0.3">
      <c r="A215" t="s">
        <v>660</v>
      </c>
      <c r="B215" s="1">
        <v>44966</v>
      </c>
      <c r="C215" t="s">
        <v>539</v>
      </c>
      <c r="D215" t="s">
        <v>125</v>
      </c>
      <c r="E215">
        <v>1</v>
      </c>
      <c r="F215" t="s">
        <v>78</v>
      </c>
      <c r="G215">
        <v>9</v>
      </c>
      <c r="H215" t="s">
        <v>540</v>
      </c>
      <c r="I215" t="s">
        <v>80</v>
      </c>
      <c r="J215">
        <v>46</v>
      </c>
      <c r="K215" t="s">
        <v>92</v>
      </c>
      <c r="L215" t="s">
        <v>43</v>
      </c>
      <c r="M215" s="1">
        <v>45081</v>
      </c>
      <c r="N215" t="s">
        <v>54</v>
      </c>
      <c r="O215" t="s">
        <v>126</v>
      </c>
      <c r="P215" t="s">
        <v>68</v>
      </c>
      <c r="Q215" t="s">
        <v>120</v>
      </c>
      <c r="R215">
        <v>4301.32</v>
      </c>
      <c r="S215">
        <v>6870.07</v>
      </c>
      <c r="T215">
        <v>243</v>
      </c>
      <c r="U215">
        <v>11017.74</v>
      </c>
      <c r="V215">
        <v>297.64</v>
      </c>
      <c r="W215">
        <v>10720.1</v>
      </c>
      <c r="X215">
        <v>2653.47</v>
      </c>
      <c r="Y215" t="s">
        <v>56</v>
      </c>
      <c r="Z215">
        <v>6870.07</v>
      </c>
      <c r="AA215">
        <v>2568.75</v>
      </c>
    </row>
    <row r="216" spans="1:27" x14ac:dyDescent="0.3">
      <c r="A216" t="s">
        <v>661</v>
      </c>
      <c r="B216" s="1">
        <v>45030</v>
      </c>
      <c r="C216" t="s">
        <v>605</v>
      </c>
      <c r="D216" t="s">
        <v>183</v>
      </c>
      <c r="E216">
        <v>4</v>
      </c>
      <c r="F216" t="s">
        <v>51</v>
      </c>
      <c r="G216">
        <v>25</v>
      </c>
      <c r="H216" t="s">
        <v>606</v>
      </c>
      <c r="I216" t="s">
        <v>80</v>
      </c>
      <c r="J216">
        <v>47</v>
      </c>
      <c r="K216" t="s">
        <v>65</v>
      </c>
      <c r="L216" t="s">
        <v>66</v>
      </c>
      <c r="M216" s="1">
        <v>44901</v>
      </c>
      <c r="N216" t="s">
        <v>44</v>
      </c>
      <c r="O216" t="s">
        <v>185</v>
      </c>
      <c r="P216" t="s">
        <v>110</v>
      </c>
      <c r="Q216" t="s">
        <v>36</v>
      </c>
      <c r="R216">
        <v>1358.27</v>
      </c>
      <c r="S216">
        <v>1886.86</v>
      </c>
      <c r="T216">
        <v>153</v>
      </c>
      <c r="U216">
        <v>19386.41</v>
      </c>
      <c r="V216">
        <v>3901.74</v>
      </c>
      <c r="W216">
        <v>15484.67</v>
      </c>
      <c r="X216">
        <v>3207.39</v>
      </c>
      <c r="Y216" t="s">
        <v>37</v>
      </c>
      <c r="Z216">
        <v>7547.44</v>
      </c>
      <c r="AA216">
        <v>2114.3599999999997</v>
      </c>
    </row>
    <row r="217" spans="1:27" x14ac:dyDescent="0.3">
      <c r="A217" t="s">
        <v>662</v>
      </c>
      <c r="B217" s="1">
        <v>45269</v>
      </c>
      <c r="C217" t="s">
        <v>663</v>
      </c>
      <c r="D217" t="s">
        <v>315</v>
      </c>
      <c r="E217">
        <v>5</v>
      </c>
      <c r="F217" t="s">
        <v>90</v>
      </c>
      <c r="G217">
        <v>2</v>
      </c>
      <c r="H217" t="s">
        <v>664</v>
      </c>
      <c r="I217" t="s">
        <v>30</v>
      </c>
      <c r="J217">
        <v>34</v>
      </c>
      <c r="K217" t="s">
        <v>31</v>
      </c>
      <c r="L217" t="s">
        <v>81</v>
      </c>
      <c r="M217" s="1">
        <v>44942</v>
      </c>
      <c r="N217" t="s">
        <v>54</v>
      </c>
      <c r="O217" t="s">
        <v>316</v>
      </c>
      <c r="P217" t="s">
        <v>110</v>
      </c>
      <c r="Q217" t="s">
        <v>120</v>
      </c>
      <c r="R217">
        <v>2359.8000000000002</v>
      </c>
      <c r="S217">
        <v>2910.71</v>
      </c>
      <c r="T217">
        <v>211</v>
      </c>
      <c r="U217">
        <v>5099.9399999999996</v>
      </c>
      <c r="V217">
        <v>626.55999999999995</v>
      </c>
      <c r="W217">
        <v>4473.38</v>
      </c>
      <c r="X217">
        <v>399.96</v>
      </c>
      <c r="Y217" t="s">
        <v>47</v>
      </c>
      <c r="Z217">
        <v>14553.55</v>
      </c>
      <c r="AA217">
        <v>2754.5499999999993</v>
      </c>
    </row>
    <row r="218" spans="1:27" x14ac:dyDescent="0.3">
      <c r="A218" t="s">
        <v>665</v>
      </c>
      <c r="B218" s="1">
        <v>45137</v>
      </c>
      <c r="C218" t="s">
        <v>666</v>
      </c>
      <c r="D218" t="s">
        <v>276</v>
      </c>
      <c r="E218">
        <v>3</v>
      </c>
      <c r="F218" t="s">
        <v>28</v>
      </c>
      <c r="G218">
        <v>9</v>
      </c>
      <c r="H218" t="s">
        <v>667</v>
      </c>
      <c r="I218" t="s">
        <v>80</v>
      </c>
      <c r="J218">
        <v>58</v>
      </c>
      <c r="K218" t="s">
        <v>65</v>
      </c>
      <c r="L218" t="s">
        <v>53</v>
      </c>
      <c r="M218" s="1">
        <v>44655</v>
      </c>
      <c r="N218" t="s">
        <v>44</v>
      </c>
      <c r="O218" t="s">
        <v>278</v>
      </c>
      <c r="P218" t="s">
        <v>35</v>
      </c>
      <c r="Q218" t="s">
        <v>111</v>
      </c>
      <c r="R218">
        <v>3479.48</v>
      </c>
      <c r="S218">
        <v>5364.57</v>
      </c>
      <c r="T218">
        <v>41</v>
      </c>
      <c r="U218">
        <v>5066.8900000000003</v>
      </c>
      <c r="V218">
        <v>1133.82</v>
      </c>
      <c r="W218">
        <v>3933.07</v>
      </c>
      <c r="X218">
        <v>678.32</v>
      </c>
      <c r="Y218" t="s">
        <v>47</v>
      </c>
      <c r="Z218">
        <v>16093.71</v>
      </c>
      <c r="AA218">
        <v>5655.2699999999986</v>
      </c>
    </row>
    <row r="219" spans="1:27" x14ac:dyDescent="0.3">
      <c r="A219" t="s">
        <v>668</v>
      </c>
      <c r="B219" s="1">
        <v>45203</v>
      </c>
      <c r="C219" t="s">
        <v>568</v>
      </c>
      <c r="D219" t="s">
        <v>230</v>
      </c>
      <c r="E219">
        <v>2</v>
      </c>
      <c r="F219" t="s">
        <v>51</v>
      </c>
      <c r="G219">
        <v>5</v>
      </c>
      <c r="H219" t="s">
        <v>569</v>
      </c>
      <c r="I219" t="s">
        <v>30</v>
      </c>
      <c r="J219">
        <v>51</v>
      </c>
      <c r="K219" t="s">
        <v>155</v>
      </c>
      <c r="L219" t="s">
        <v>43</v>
      </c>
      <c r="M219" s="1">
        <v>45056</v>
      </c>
      <c r="N219" t="s">
        <v>33</v>
      </c>
      <c r="O219" t="s">
        <v>232</v>
      </c>
      <c r="P219" t="s">
        <v>110</v>
      </c>
      <c r="Q219" t="s">
        <v>46</v>
      </c>
      <c r="R219">
        <v>4570.75</v>
      </c>
      <c r="S219">
        <v>5891.26</v>
      </c>
      <c r="T219">
        <v>285</v>
      </c>
      <c r="U219">
        <v>12829.71</v>
      </c>
      <c r="V219">
        <v>851.59</v>
      </c>
      <c r="W219">
        <v>11978.12</v>
      </c>
      <c r="X219">
        <v>2285.9</v>
      </c>
      <c r="Y219" t="s">
        <v>47</v>
      </c>
      <c r="Z219">
        <v>11782.52</v>
      </c>
      <c r="AA219">
        <v>2641.0200000000004</v>
      </c>
    </row>
    <row r="220" spans="1:27" x14ac:dyDescent="0.3">
      <c r="A220" t="s">
        <v>669</v>
      </c>
      <c r="B220" s="1">
        <v>45215</v>
      </c>
      <c r="C220" t="s">
        <v>670</v>
      </c>
      <c r="D220" t="s">
        <v>354</v>
      </c>
      <c r="E220">
        <v>4</v>
      </c>
      <c r="F220" t="s">
        <v>90</v>
      </c>
      <c r="G220">
        <v>14</v>
      </c>
      <c r="H220" t="s">
        <v>671</v>
      </c>
      <c r="I220" t="s">
        <v>80</v>
      </c>
      <c r="J220">
        <v>21</v>
      </c>
      <c r="K220" t="s">
        <v>53</v>
      </c>
      <c r="L220" t="s">
        <v>66</v>
      </c>
      <c r="M220" s="1">
        <v>45562</v>
      </c>
      <c r="N220" t="s">
        <v>44</v>
      </c>
      <c r="O220" t="s">
        <v>356</v>
      </c>
      <c r="P220" t="s">
        <v>68</v>
      </c>
      <c r="Q220" t="s">
        <v>120</v>
      </c>
      <c r="R220">
        <v>3959.29</v>
      </c>
      <c r="S220">
        <v>5340.73</v>
      </c>
      <c r="T220">
        <v>91</v>
      </c>
      <c r="U220">
        <v>11557.19</v>
      </c>
      <c r="V220">
        <v>333.31</v>
      </c>
      <c r="W220">
        <v>11223.88</v>
      </c>
      <c r="X220">
        <v>3365.19</v>
      </c>
      <c r="Y220" t="s">
        <v>37</v>
      </c>
      <c r="Z220">
        <v>21362.92</v>
      </c>
      <c r="AA220">
        <v>5525.7599999999984</v>
      </c>
    </row>
    <row r="221" spans="1:27" x14ac:dyDescent="0.3">
      <c r="A221" t="s">
        <v>672</v>
      </c>
      <c r="B221" s="1">
        <v>45153</v>
      </c>
      <c r="C221" t="s">
        <v>639</v>
      </c>
      <c r="D221" t="s">
        <v>399</v>
      </c>
      <c r="E221">
        <v>1</v>
      </c>
      <c r="F221" t="s">
        <v>28</v>
      </c>
      <c r="G221">
        <v>2</v>
      </c>
      <c r="H221" t="s">
        <v>640</v>
      </c>
      <c r="I221" t="s">
        <v>80</v>
      </c>
      <c r="J221">
        <v>53</v>
      </c>
      <c r="K221" t="s">
        <v>65</v>
      </c>
      <c r="L221" t="s">
        <v>53</v>
      </c>
      <c r="M221" s="1">
        <v>44739</v>
      </c>
      <c r="N221" t="s">
        <v>33</v>
      </c>
      <c r="O221" t="s">
        <v>400</v>
      </c>
      <c r="P221" t="s">
        <v>94</v>
      </c>
      <c r="Q221" t="s">
        <v>46</v>
      </c>
      <c r="R221">
        <v>828.79</v>
      </c>
      <c r="S221">
        <v>1227.1300000000001</v>
      </c>
      <c r="T221">
        <v>228</v>
      </c>
      <c r="U221">
        <v>4896.7299999999996</v>
      </c>
      <c r="V221">
        <v>1028.95</v>
      </c>
      <c r="W221">
        <v>3867.78</v>
      </c>
      <c r="X221">
        <v>634.62</v>
      </c>
      <c r="Y221" t="s">
        <v>83</v>
      </c>
      <c r="Z221">
        <v>1227.1300000000001</v>
      </c>
      <c r="AA221">
        <v>398.34000000000015</v>
      </c>
    </row>
    <row r="222" spans="1:27" x14ac:dyDescent="0.3">
      <c r="A222" t="s">
        <v>673</v>
      </c>
      <c r="B222" s="1">
        <v>45222</v>
      </c>
      <c r="C222" t="s">
        <v>605</v>
      </c>
      <c r="D222" t="s">
        <v>27</v>
      </c>
      <c r="E222">
        <v>6</v>
      </c>
      <c r="F222" t="s">
        <v>28</v>
      </c>
      <c r="G222">
        <v>7</v>
      </c>
      <c r="H222" t="s">
        <v>606</v>
      </c>
      <c r="I222" t="s">
        <v>80</v>
      </c>
      <c r="J222">
        <v>47</v>
      </c>
      <c r="K222" t="s">
        <v>65</v>
      </c>
      <c r="L222" t="s">
        <v>66</v>
      </c>
      <c r="M222" s="1">
        <v>44901</v>
      </c>
      <c r="N222" t="s">
        <v>44</v>
      </c>
      <c r="O222" t="s">
        <v>34</v>
      </c>
      <c r="P222" t="s">
        <v>35</v>
      </c>
      <c r="Q222" t="s">
        <v>36</v>
      </c>
      <c r="R222">
        <v>4318.8599999999997</v>
      </c>
      <c r="S222">
        <v>4880.6400000000003</v>
      </c>
      <c r="T222">
        <v>149</v>
      </c>
      <c r="U222">
        <v>17967.23</v>
      </c>
      <c r="V222">
        <v>2116.31</v>
      </c>
      <c r="W222">
        <v>15850.92</v>
      </c>
      <c r="X222">
        <v>3233.84</v>
      </c>
      <c r="Y222" t="s">
        <v>37</v>
      </c>
      <c r="Z222">
        <v>29283.840000000004</v>
      </c>
      <c r="AA222">
        <v>3370.6800000000039</v>
      </c>
    </row>
    <row r="223" spans="1:27" x14ac:dyDescent="0.3">
      <c r="A223" t="s">
        <v>674</v>
      </c>
      <c r="B223" s="1">
        <v>44995</v>
      </c>
      <c r="C223" t="s">
        <v>675</v>
      </c>
      <c r="D223" t="s">
        <v>183</v>
      </c>
      <c r="E223">
        <v>2</v>
      </c>
      <c r="F223" t="s">
        <v>51</v>
      </c>
      <c r="G223">
        <v>22</v>
      </c>
      <c r="H223" t="s">
        <v>676</v>
      </c>
      <c r="I223" t="s">
        <v>30</v>
      </c>
      <c r="J223">
        <v>46</v>
      </c>
      <c r="K223" t="s">
        <v>73</v>
      </c>
      <c r="L223" t="s">
        <v>53</v>
      </c>
      <c r="M223" s="1">
        <v>45447</v>
      </c>
      <c r="N223" t="s">
        <v>33</v>
      </c>
      <c r="O223" t="s">
        <v>185</v>
      </c>
      <c r="P223" t="s">
        <v>110</v>
      </c>
      <c r="Q223" t="s">
        <v>36</v>
      </c>
      <c r="R223">
        <v>1358.27</v>
      </c>
      <c r="S223">
        <v>1886.86</v>
      </c>
      <c r="T223">
        <v>153</v>
      </c>
      <c r="U223">
        <v>7959.78</v>
      </c>
      <c r="V223">
        <v>1121.47</v>
      </c>
      <c r="W223">
        <v>6838.31</v>
      </c>
      <c r="X223">
        <v>2564.77</v>
      </c>
      <c r="Y223" t="s">
        <v>37</v>
      </c>
      <c r="Z223">
        <v>3773.72</v>
      </c>
      <c r="AA223">
        <v>1057.1799999999998</v>
      </c>
    </row>
    <row r="224" spans="1:27" x14ac:dyDescent="0.3">
      <c r="A224" t="s">
        <v>677</v>
      </c>
      <c r="B224" s="1">
        <v>45112</v>
      </c>
      <c r="C224" t="s">
        <v>678</v>
      </c>
      <c r="D224" t="s">
        <v>679</v>
      </c>
      <c r="E224">
        <v>4</v>
      </c>
      <c r="F224" t="s">
        <v>51</v>
      </c>
      <c r="G224">
        <v>14</v>
      </c>
      <c r="H224" t="s">
        <v>680</v>
      </c>
      <c r="I224" t="s">
        <v>80</v>
      </c>
      <c r="J224">
        <v>41</v>
      </c>
      <c r="K224" t="s">
        <v>155</v>
      </c>
      <c r="L224" t="s">
        <v>53</v>
      </c>
      <c r="M224" s="1">
        <v>45320</v>
      </c>
      <c r="N224" t="s">
        <v>44</v>
      </c>
      <c r="O224" t="s">
        <v>681</v>
      </c>
      <c r="P224" t="s">
        <v>35</v>
      </c>
      <c r="Q224" t="s">
        <v>46</v>
      </c>
      <c r="R224">
        <v>2024.37</v>
      </c>
      <c r="S224">
        <v>2982.78</v>
      </c>
      <c r="T224">
        <v>11</v>
      </c>
      <c r="U224">
        <v>3394.73</v>
      </c>
      <c r="V224">
        <v>114.47</v>
      </c>
      <c r="W224">
        <v>3280.26</v>
      </c>
      <c r="X224">
        <v>3655.74</v>
      </c>
      <c r="Y224" t="s">
        <v>37</v>
      </c>
      <c r="Z224">
        <v>11931.12</v>
      </c>
      <c r="AA224">
        <v>3833.6400000000012</v>
      </c>
    </row>
    <row r="225" spans="1:27" x14ac:dyDescent="0.3">
      <c r="A225" t="s">
        <v>682</v>
      </c>
      <c r="B225" s="1">
        <v>45247</v>
      </c>
      <c r="C225" t="s">
        <v>431</v>
      </c>
      <c r="D225" t="s">
        <v>226</v>
      </c>
      <c r="E225">
        <v>6</v>
      </c>
      <c r="F225" t="s">
        <v>90</v>
      </c>
      <c r="G225">
        <v>20</v>
      </c>
      <c r="H225" t="s">
        <v>432</v>
      </c>
      <c r="I225" t="s">
        <v>80</v>
      </c>
      <c r="J225">
        <v>34</v>
      </c>
      <c r="K225" t="s">
        <v>73</v>
      </c>
      <c r="L225" t="s">
        <v>32</v>
      </c>
      <c r="M225" s="1">
        <v>45084</v>
      </c>
      <c r="N225" t="s">
        <v>33</v>
      </c>
      <c r="O225" t="s">
        <v>227</v>
      </c>
      <c r="P225" t="s">
        <v>35</v>
      </c>
      <c r="Q225" t="s">
        <v>111</v>
      </c>
      <c r="R225">
        <v>762.02</v>
      </c>
      <c r="S225">
        <v>1161.9100000000001</v>
      </c>
      <c r="T225">
        <v>293</v>
      </c>
      <c r="U225">
        <v>11543.97</v>
      </c>
      <c r="V225">
        <v>187.15</v>
      </c>
      <c r="W225">
        <v>11356.82</v>
      </c>
      <c r="X225">
        <v>1854.96</v>
      </c>
      <c r="Y225" t="s">
        <v>56</v>
      </c>
      <c r="Z225">
        <v>6971.4600000000009</v>
      </c>
      <c r="AA225">
        <v>2399.3400000000006</v>
      </c>
    </row>
    <row r="226" spans="1:27" x14ac:dyDescent="0.3">
      <c r="A226" t="s">
        <v>683</v>
      </c>
      <c r="B226" s="1">
        <v>45278</v>
      </c>
      <c r="C226" t="s">
        <v>684</v>
      </c>
      <c r="D226" t="s">
        <v>122</v>
      </c>
      <c r="E226">
        <v>1</v>
      </c>
      <c r="F226" t="s">
        <v>78</v>
      </c>
      <c r="G226">
        <v>24</v>
      </c>
      <c r="H226" t="s">
        <v>685</v>
      </c>
      <c r="I226" t="s">
        <v>80</v>
      </c>
      <c r="J226">
        <v>40</v>
      </c>
      <c r="K226" t="s">
        <v>73</v>
      </c>
      <c r="L226" t="s">
        <v>43</v>
      </c>
      <c r="M226" s="1">
        <v>45137</v>
      </c>
      <c r="N226" t="s">
        <v>44</v>
      </c>
      <c r="O226" t="s">
        <v>123</v>
      </c>
      <c r="P226" t="s">
        <v>68</v>
      </c>
      <c r="Q226" t="s">
        <v>46</v>
      </c>
      <c r="R226">
        <v>1480.33</v>
      </c>
      <c r="S226">
        <v>1709.3</v>
      </c>
      <c r="T226">
        <v>229</v>
      </c>
      <c r="U226">
        <v>9337.66</v>
      </c>
      <c r="V226">
        <v>1117.58</v>
      </c>
      <c r="W226">
        <v>8220.08</v>
      </c>
      <c r="X226">
        <v>3552.91</v>
      </c>
      <c r="Y226" t="s">
        <v>83</v>
      </c>
      <c r="Z226">
        <v>1709.3</v>
      </c>
      <c r="AA226">
        <v>228.97000000000003</v>
      </c>
    </row>
    <row r="227" spans="1:27" x14ac:dyDescent="0.3">
      <c r="A227" t="s">
        <v>686</v>
      </c>
      <c r="B227" s="1">
        <v>45260</v>
      </c>
      <c r="C227" t="s">
        <v>687</v>
      </c>
      <c r="D227" t="s">
        <v>679</v>
      </c>
      <c r="E227">
        <v>2</v>
      </c>
      <c r="F227" t="s">
        <v>28</v>
      </c>
      <c r="G227">
        <v>12</v>
      </c>
      <c r="H227" t="s">
        <v>688</v>
      </c>
      <c r="I227" t="s">
        <v>30</v>
      </c>
      <c r="J227">
        <v>38</v>
      </c>
      <c r="K227" t="s">
        <v>155</v>
      </c>
      <c r="L227" t="s">
        <v>66</v>
      </c>
      <c r="M227" s="1">
        <v>45015</v>
      </c>
      <c r="N227" t="s">
        <v>33</v>
      </c>
      <c r="O227" t="s">
        <v>681</v>
      </c>
      <c r="P227" t="s">
        <v>35</v>
      </c>
      <c r="Q227" t="s">
        <v>46</v>
      </c>
      <c r="R227">
        <v>2024.37</v>
      </c>
      <c r="S227">
        <v>2982.78</v>
      </c>
      <c r="T227">
        <v>11</v>
      </c>
      <c r="U227">
        <v>15943.38</v>
      </c>
      <c r="V227">
        <v>3509.22</v>
      </c>
      <c r="W227">
        <v>12434.16</v>
      </c>
      <c r="X227">
        <v>2156.34</v>
      </c>
      <c r="Y227" t="s">
        <v>47</v>
      </c>
      <c r="Z227">
        <v>5965.56</v>
      </c>
      <c r="AA227">
        <v>1916.8200000000006</v>
      </c>
    </row>
    <row r="228" spans="1:27" x14ac:dyDescent="0.3">
      <c r="A228" t="s">
        <v>689</v>
      </c>
      <c r="B228" s="1">
        <v>45288</v>
      </c>
      <c r="C228" t="s">
        <v>565</v>
      </c>
      <c r="D228" t="s">
        <v>190</v>
      </c>
      <c r="E228">
        <v>2</v>
      </c>
      <c r="F228" t="s">
        <v>78</v>
      </c>
      <c r="G228">
        <v>17</v>
      </c>
      <c r="H228" t="s">
        <v>566</v>
      </c>
      <c r="I228" t="s">
        <v>80</v>
      </c>
      <c r="J228">
        <v>30</v>
      </c>
      <c r="K228" t="s">
        <v>42</v>
      </c>
      <c r="L228" t="s">
        <v>32</v>
      </c>
      <c r="M228" s="1">
        <v>45608</v>
      </c>
      <c r="N228" t="s">
        <v>54</v>
      </c>
      <c r="O228" t="s">
        <v>191</v>
      </c>
      <c r="P228" t="s">
        <v>68</v>
      </c>
      <c r="Q228" t="s">
        <v>120</v>
      </c>
      <c r="R228">
        <v>2412.25</v>
      </c>
      <c r="S228">
        <v>3672.51</v>
      </c>
      <c r="T228">
        <v>100</v>
      </c>
      <c r="U228">
        <v>9504.49</v>
      </c>
      <c r="V228">
        <v>322.72000000000003</v>
      </c>
      <c r="W228">
        <v>9181.77</v>
      </c>
      <c r="X228">
        <v>2119.89</v>
      </c>
      <c r="Y228" t="s">
        <v>83</v>
      </c>
      <c r="Z228">
        <v>7345.02</v>
      </c>
      <c r="AA228">
        <v>2520.5200000000004</v>
      </c>
    </row>
    <row r="229" spans="1:27" x14ac:dyDescent="0.3">
      <c r="A229" t="s">
        <v>690</v>
      </c>
      <c r="B229" s="1">
        <v>45275</v>
      </c>
      <c r="C229" t="s">
        <v>182</v>
      </c>
      <c r="D229" t="s">
        <v>89</v>
      </c>
      <c r="E229">
        <v>1</v>
      </c>
      <c r="F229" t="s">
        <v>78</v>
      </c>
      <c r="G229">
        <v>2</v>
      </c>
      <c r="H229" t="s">
        <v>184</v>
      </c>
      <c r="I229" t="s">
        <v>80</v>
      </c>
      <c r="J229">
        <v>40</v>
      </c>
      <c r="K229" t="s">
        <v>65</v>
      </c>
      <c r="L229" t="s">
        <v>43</v>
      </c>
      <c r="M229" s="1">
        <v>44995</v>
      </c>
      <c r="N229" t="s">
        <v>33</v>
      </c>
      <c r="O229" t="s">
        <v>93</v>
      </c>
      <c r="P229" t="s">
        <v>94</v>
      </c>
      <c r="Q229" t="s">
        <v>46</v>
      </c>
      <c r="R229">
        <v>1290.44</v>
      </c>
      <c r="S229">
        <v>1756.94</v>
      </c>
      <c r="T229">
        <v>226</v>
      </c>
      <c r="U229">
        <v>8369.3799999999992</v>
      </c>
      <c r="V229">
        <v>771.61</v>
      </c>
      <c r="W229">
        <v>7597.77</v>
      </c>
      <c r="X229">
        <v>3002.26</v>
      </c>
      <c r="Y229" t="s">
        <v>83</v>
      </c>
      <c r="Z229">
        <v>1756.94</v>
      </c>
      <c r="AA229">
        <v>466.5</v>
      </c>
    </row>
    <row r="230" spans="1:27" x14ac:dyDescent="0.3">
      <c r="A230" t="s">
        <v>691</v>
      </c>
      <c r="B230" s="1">
        <v>45257</v>
      </c>
      <c r="C230" t="s">
        <v>554</v>
      </c>
      <c r="D230" t="s">
        <v>223</v>
      </c>
      <c r="E230">
        <v>3</v>
      </c>
      <c r="F230" t="s">
        <v>28</v>
      </c>
      <c r="G230">
        <v>17</v>
      </c>
      <c r="H230" t="s">
        <v>555</v>
      </c>
      <c r="I230" t="s">
        <v>80</v>
      </c>
      <c r="J230">
        <v>33</v>
      </c>
      <c r="K230" t="s">
        <v>31</v>
      </c>
      <c r="L230" t="s">
        <v>108</v>
      </c>
      <c r="M230" s="1">
        <v>45546</v>
      </c>
      <c r="N230" t="s">
        <v>54</v>
      </c>
      <c r="O230" t="s">
        <v>224</v>
      </c>
      <c r="P230" t="s">
        <v>35</v>
      </c>
      <c r="Q230" t="s">
        <v>111</v>
      </c>
      <c r="R230">
        <v>3470.49</v>
      </c>
      <c r="S230">
        <v>5407.89</v>
      </c>
      <c r="T230">
        <v>141</v>
      </c>
      <c r="U230">
        <v>6658.5</v>
      </c>
      <c r="V230">
        <v>358.99</v>
      </c>
      <c r="W230">
        <v>6299.51</v>
      </c>
      <c r="X230">
        <v>3792.9</v>
      </c>
      <c r="Y230" t="s">
        <v>47</v>
      </c>
      <c r="Z230">
        <v>16223.670000000002</v>
      </c>
      <c r="AA230">
        <v>5812.2000000000016</v>
      </c>
    </row>
    <row r="231" spans="1:27" x14ac:dyDescent="0.3">
      <c r="A231" t="s">
        <v>692</v>
      </c>
      <c r="B231" s="1">
        <v>45060</v>
      </c>
      <c r="C231" t="s">
        <v>693</v>
      </c>
      <c r="D231" t="s">
        <v>89</v>
      </c>
      <c r="E231">
        <v>2</v>
      </c>
      <c r="F231" t="s">
        <v>78</v>
      </c>
      <c r="G231">
        <v>18</v>
      </c>
      <c r="H231" t="s">
        <v>694</v>
      </c>
      <c r="I231" t="s">
        <v>30</v>
      </c>
      <c r="J231">
        <v>47</v>
      </c>
      <c r="K231" t="s">
        <v>155</v>
      </c>
      <c r="L231" t="s">
        <v>108</v>
      </c>
      <c r="M231" s="1">
        <v>45417</v>
      </c>
      <c r="N231" t="s">
        <v>44</v>
      </c>
      <c r="O231" t="s">
        <v>93</v>
      </c>
      <c r="P231" t="s">
        <v>94</v>
      </c>
      <c r="Q231" t="s">
        <v>46</v>
      </c>
      <c r="R231">
        <v>1290.44</v>
      </c>
      <c r="S231">
        <v>1756.94</v>
      </c>
      <c r="T231">
        <v>226</v>
      </c>
      <c r="U231">
        <v>6524.3</v>
      </c>
      <c r="V231">
        <v>1074.49</v>
      </c>
      <c r="W231">
        <v>5449.81</v>
      </c>
      <c r="X231">
        <v>2018.63</v>
      </c>
      <c r="Y231" t="s">
        <v>83</v>
      </c>
      <c r="Z231">
        <v>3513.88</v>
      </c>
      <c r="AA231">
        <v>933</v>
      </c>
    </row>
    <row r="232" spans="1:27" x14ac:dyDescent="0.3">
      <c r="A232" t="s">
        <v>695</v>
      </c>
      <c r="B232" s="1">
        <v>45142</v>
      </c>
      <c r="C232" t="s">
        <v>696</v>
      </c>
      <c r="D232" t="s">
        <v>223</v>
      </c>
      <c r="E232">
        <v>6</v>
      </c>
      <c r="F232" t="s">
        <v>51</v>
      </c>
      <c r="G232">
        <v>9</v>
      </c>
      <c r="H232" t="s">
        <v>697</v>
      </c>
      <c r="I232" t="s">
        <v>30</v>
      </c>
      <c r="J232">
        <v>36</v>
      </c>
      <c r="K232" t="s">
        <v>65</v>
      </c>
      <c r="L232" t="s">
        <v>66</v>
      </c>
      <c r="M232" s="1">
        <v>44900</v>
      </c>
      <c r="N232" t="s">
        <v>54</v>
      </c>
      <c r="O232" t="s">
        <v>224</v>
      </c>
      <c r="P232" t="s">
        <v>35</v>
      </c>
      <c r="Q232" t="s">
        <v>111</v>
      </c>
      <c r="R232">
        <v>3470.49</v>
      </c>
      <c r="S232">
        <v>5407.89</v>
      </c>
      <c r="T232">
        <v>141</v>
      </c>
      <c r="U232">
        <v>5920.34</v>
      </c>
      <c r="V232">
        <v>1033.0999999999999</v>
      </c>
      <c r="W232">
        <v>4887.24</v>
      </c>
      <c r="X232">
        <v>3665.7</v>
      </c>
      <c r="Y232" t="s">
        <v>56</v>
      </c>
      <c r="Z232">
        <v>32447.340000000004</v>
      </c>
      <c r="AA232">
        <v>11624.400000000003</v>
      </c>
    </row>
    <row r="233" spans="1:27" x14ac:dyDescent="0.3">
      <c r="A233" t="s">
        <v>698</v>
      </c>
      <c r="B233" s="1">
        <v>45043</v>
      </c>
      <c r="C233" t="s">
        <v>699</v>
      </c>
      <c r="D233" t="s">
        <v>236</v>
      </c>
      <c r="E233">
        <v>4</v>
      </c>
      <c r="F233" t="s">
        <v>51</v>
      </c>
      <c r="G233">
        <v>10</v>
      </c>
      <c r="H233" t="s">
        <v>700</v>
      </c>
      <c r="I233" t="s">
        <v>30</v>
      </c>
      <c r="J233">
        <v>48</v>
      </c>
      <c r="K233" t="s">
        <v>60</v>
      </c>
      <c r="L233" t="s">
        <v>43</v>
      </c>
      <c r="M233" s="1">
        <v>44989</v>
      </c>
      <c r="N233" t="s">
        <v>44</v>
      </c>
      <c r="O233" t="s">
        <v>238</v>
      </c>
      <c r="P233" t="s">
        <v>68</v>
      </c>
      <c r="Q233" t="s">
        <v>120</v>
      </c>
      <c r="R233">
        <v>3957.37</v>
      </c>
      <c r="S233">
        <v>5045.3500000000004</v>
      </c>
      <c r="T233">
        <v>227</v>
      </c>
      <c r="U233">
        <v>15797.35</v>
      </c>
      <c r="V233">
        <v>2105.83</v>
      </c>
      <c r="W233">
        <v>13691.52</v>
      </c>
      <c r="X233">
        <v>3759.36</v>
      </c>
      <c r="Y233" t="s">
        <v>83</v>
      </c>
      <c r="Z233">
        <v>20181.400000000001</v>
      </c>
      <c r="AA233">
        <v>4351.9200000000019</v>
      </c>
    </row>
    <row r="234" spans="1:27" x14ac:dyDescent="0.3">
      <c r="A234" t="s">
        <v>701</v>
      </c>
      <c r="B234" s="1">
        <v>45145</v>
      </c>
      <c r="C234" t="s">
        <v>407</v>
      </c>
      <c r="D234" t="s">
        <v>122</v>
      </c>
      <c r="E234">
        <v>2</v>
      </c>
      <c r="F234" t="s">
        <v>51</v>
      </c>
      <c r="G234">
        <v>14</v>
      </c>
      <c r="H234" t="s">
        <v>409</v>
      </c>
      <c r="I234" t="s">
        <v>80</v>
      </c>
      <c r="J234">
        <v>22</v>
      </c>
      <c r="K234" t="s">
        <v>31</v>
      </c>
      <c r="L234" t="s">
        <v>81</v>
      </c>
      <c r="M234" s="1">
        <v>44661</v>
      </c>
      <c r="N234" t="s">
        <v>44</v>
      </c>
      <c r="O234" t="s">
        <v>123</v>
      </c>
      <c r="P234" t="s">
        <v>68</v>
      </c>
      <c r="Q234" t="s">
        <v>46</v>
      </c>
      <c r="R234">
        <v>1480.33</v>
      </c>
      <c r="S234">
        <v>1709.3</v>
      </c>
      <c r="T234">
        <v>229</v>
      </c>
      <c r="U234">
        <v>19037.96</v>
      </c>
      <c r="V234">
        <v>754.88</v>
      </c>
      <c r="W234">
        <v>18283.080000000002</v>
      </c>
      <c r="X234">
        <v>2165.79</v>
      </c>
      <c r="Y234" t="s">
        <v>47</v>
      </c>
      <c r="Z234">
        <v>3418.6</v>
      </c>
      <c r="AA234">
        <v>457.94000000000005</v>
      </c>
    </row>
    <row r="235" spans="1:27" x14ac:dyDescent="0.3">
      <c r="A235" t="s">
        <v>702</v>
      </c>
      <c r="B235" s="1">
        <v>45246</v>
      </c>
      <c r="C235" t="s">
        <v>182</v>
      </c>
      <c r="D235" t="s">
        <v>322</v>
      </c>
      <c r="E235">
        <v>3</v>
      </c>
      <c r="F235" t="s">
        <v>90</v>
      </c>
      <c r="G235">
        <v>16</v>
      </c>
      <c r="H235" t="s">
        <v>184</v>
      </c>
      <c r="I235" t="s">
        <v>80</v>
      </c>
      <c r="J235">
        <v>40</v>
      </c>
      <c r="K235" t="s">
        <v>65</v>
      </c>
      <c r="L235" t="s">
        <v>43</v>
      </c>
      <c r="M235" s="1">
        <v>44995</v>
      </c>
      <c r="N235" t="s">
        <v>33</v>
      </c>
      <c r="O235" t="s">
        <v>324</v>
      </c>
      <c r="P235" t="s">
        <v>35</v>
      </c>
      <c r="Q235" t="s">
        <v>111</v>
      </c>
      <c r="R235">
        <v>3696.72</v>
      </c>
      <c r="S235">
        <v>4397.13</v>
      </c>
      <c r="T235">
        <v>92</v>
      </c>
      <c r="U235">
        <v>14606.97</v>
      </c>
      <c r="V235">
        <v>2226.4499999999998</v>
      </c>
      <c r="W235">
        <v>12380.52</v>
      </c>
      <c r="X235">
        <v>391.73</v>
      </c>
      <c r="Y235" t="s">
        <v>47</v>
      </c>
      <c r="Z235">
        <v>13191.39</v>
      </c>
      <c r="AA235">
        <v>2101.2300000000009</v>
      </c>
    </row>
    <row r="236" spans="1:27" x14ac:dyDescent="0.3">
      <c r="A236" t="s">
        <v>703</v>
      </c>
      <c r="B236" s="1">
        <v>45071</v>
      </c>
      <c r="C236" t="s">
        <v>704</v>
      </c>
      <c r="D236" t="s">
        <v>77</v>
      </c>
      <c r="E236">
        <v>3</v>
      </c>
      <c r="F236" t="s">
        <v>78</v>
      </c>
      <c r="G236">
        <v>9</v>
      </c>
      <c r="H236" t="s">
        <v>705</v>
      </c>
      <c r="I236" t="s">
        <v>80</v>
      </c>
      <c r="J236">
        <v>39</v>
      </c>
      <c r="K236" t="s">
        <v>92</v>
      </c>
      <c r="L236" t="s">
        <v>66</v>
      </c>
      <c r="M236" s="1">
        <v>45303</v>
      </c>
      <c r="N236" t="s">
        <v>54</v>
      </c>
      <c r="O236" t="s">
        <v>82</v>
      </c>
      <c r="P236" t="s">
        <v>35</v>
      </c>
      <c r="Q236" t="s">
        <v>46</v>
      </c>
      <c r="R236">
        <v>1607.82</v>
      </c>
      <c r="S236">
        <v>2197.14</v>
      </c>
      <c r="T236">
        <v>27</v>
      </c>
      <c r="U236">
        <v>4598.91</v>
      </c>
      <c r="V236">
        <v>905.45</v>
      </c>
      <c r="W236">
        <v>3693.46</v>
      </c>
      <c r="X236">
        <v>3000</v>
      </c>
      <c r="Y236" t="s">
        <v>56</v>
      </c>
      <c r="Z236">
        <v>6591.42</v>
      </c>
      <c r="AA236">
        <v>1767.9599999999998</v>
      </c>
    </row>
    <row r="237" spans="1:27" x14ac:dyDescent="0.3">
      <c r="A237" t="s">
        <v>706</v>
      </c>
      <c r="B237" s="1">
        <v>45000</v>
      </c>
      <c r="C237" t="s">
        <v>562</v>
      </c>
      <c r="D237" t="s">
        <v>679</v>
      </c>
      <c r="E237">
        <v>2</v>
      </c>
      <c r="F237" t="s">
        <v>28</v>
      </c>
      <c r="G237">
        <v>0</v>
      </c>
      <c r="H237" t="s">
        <v>563</v>
      </c>
      <c r="I237" t="s">
        <v>30</v>
      </c>
      <c r="J237">
        <v>46</v>
      </c>
      <c r="K237" t="s">
        <v>31</v>
      </c>
      <c r="L237" t="s">
        <v>53</v>
      </c>
      <c r="M237" s="1">
        <v>45409</v>
      </c>
      <c r="N237" t="s">
        <v>44</v>
      </c>
      <c r="O237" t="s">
        <v>681</v>
      </c>
      <c r="P237" t="s">
        <v>35</v>
      </c>
      <c r="Q237" t="s">
        <v>46</v>
      </c>
      <c r="R237">
        <v>2024.37</v>
      </c>
      <c r="S237">
        <v>2982.78</v>
      </c>
      <c r="T237">
        <v>11</v>
      </c>
      <c r="U237">
        <v>541.29</v>
      </c>
      <c r="V237">
        <v>61.94</v>
      </c>
      <c r="W237">
        <v>479.35</v>
      </c>
      <c r="X237">
        <v>490.81</v>
      </c>
      <c r="Y237" t="s">
        <v>56</v>
      </c>
      <c r="Z237">
        <v>5965.56</v>
      </c>
      <c r="AA237">
        <v>1916.8200000000006</v>
      </c>
    </row>
    <row r="238" spans="1:27" x14ac:dyDescent="0.3">
      <c r="A238" t="s">
        <v>707</v>
      </c>
      <c r="B238" s="1">
        <v>45025</v>
      </c>
      <c r="C238" t="s">
        <v>708</v>
      </c>
      <c r="D238" t="s">
        <v>527</v>
      </c>
      <c r="E238">
        <v>2</v>
      </c>
      <c r="F238" t="s">
        <v>78</v>
      </c>
      <c r="G238">
        <v>18</v>
      </c>
      <c r="H238" t="s">
        <v>709</v>
      </c>
      <c r="I238" t="s">
        <v>80</v>
      </c>
      <c r="J238">
        <v>45</v>
      </c>
      <c r="K238" t="s">
        <v>155</v>
      </c>
      <c r="L238" t="s">
        <v>53</v>
      </c>
      <c r="M238" s="1">
        <v>45424</v>
      </c>
      <c r="N238" t="s">
        <v>54</v>
      </c>
      <c r="O238" t="s">
        <v>528</v>
      </c>
      <c r="P238" t="s">
        <v>94</v>
      </c>
      <c r="Q238" t="s">
        <v>46</v>
      </c>
      <c r="R238">
        <v>2643.84</v>
      </c>
      <c r="S238">
        <v>3790.58</v>
      </c>
      <c r="T238">
        <v>63</v>
      </c>
      <c r="U238">
        <v>9992.52</v>
      </c>
      <c r="V238">
        <v>682.01</v>
      </c>
      <c r="W238">
        <v>9310.51</v>
      </c>
      <c r="X238">
        <v>1833.07</v>
      </c>
      <c r="Y238" t="s">
        <v>83</v>
      </c>
      <c r="Z238">
        <v>7581.16</v>
      </c>
      <c r="AA238">
        <v>2293.4799999999996</v>
      </c>
    </row>
    <row r="239" spans="1:27" x14ac:dyDescent="0.3">
      <c r="A239" t="s">
        <v>710</v>
      </c>
      <c r="B239" s="1">
        <v>45239</v>
      </c>
      <c r="C239" t="s">
        <v>524</v>
      </c>
      <c r="D239" t="s">
        <v>322</v>
      </c>
      <c r="E239">
        <v>3</v>
      </c>
      <c r="F239" t="s">
        <v>90</v>
      </c>
      <c r="G239">
        <v>17</v>
      </c>
      <c r="H239" t="s">
        <v>525</v>
      </c>
      <c r="I239" t="s">
        <v>80</v>
      </c>
      <c r="J239">
        <v>31</v>
      </c>
      <c r="K239" t="s">
        <v>65</v>
      </c>
      <c r="L239" t="s">
        <v>108</v>
      </c>
      <c r="M239" s="1">
        <v>45389</v>
      </c>
      <c r="N239" t="s">
        <v>44</v>
      </c>
      <c r="O239" t="s">
        <v>324</v>
      </c>
      <c r="P239" t="s">
        <v>35</v>
      </c>
      <c r="Q239" t="s">
        <v>111</v>
      </c>
      <c r="R239">
        <v>3696.72</v>
      </c>
      <c r="S239">
        <v>4397.13</v>
      </c>
      <c r="T239">
        <v>92</v>
      </c>
      <c r="U239">
        <v>7317.16</v>
      </c>
      <c r="V239">
        <v>1458.1</v>
      </c>
      <c r="W239">
        <v>5859.06</v>
      </c>
      <c r="X239">
        <v>3583.5</v>
      </c>
      <c r="Y239" t="s">
        <v>83</v>
      </c>
      <c r="Z239">
        <v>13191.39</v>
      </c>
      <c r="AA239">
        <v>2101.2300000000009</v>
      </c>
    </row>
    <row r="240" spans="1:27" x14ac:dyDescent="0.3">
      <c r="A240" t="s">
        <v>711</v>
      </c>
      <c r="B240" s="1">
        <v>45205</v>
      </c>
      <c r="C240" t="s">
        <v>712</v>
      </c>
      <c r="D240" t="s">
        <v>163</v>
      </c>
      <c r="E240">
        <v>6</v>
      </c>
      <c r="F240" t="s">
        <v>28</v>
      </c>
      <c r="G240">
        <v>17</v>
      </c>
      <c r="H240" t="s">
        <v>713</v>
      </c>
      <c r="I240" t="s">
        <v>80</v>
      </c>
      <c r="J240">
        <v>47</v>
      </c>
      <c r="K240" t="s">
        <v>53</v>
      </c>
      <c r="L240" t="s">
        <v>43</v>
      </c>
      <c r="M240" s="1">
        <v>45085</v>
      </c>
      <c r="N240" t="s">
        <v>33</v>
      </c>
      <c r="O240" t="s">
        <v>165</v>
      </c>
      <c r="P240" t="s">
        <v>94</v>
      </c>
      <c r="Q240" t="s">
        <v>120</v>
      </c>
      <c r="R240">
        <v>1733.92</v>
      </c>
      <c r="S240">
        <v>2099.92</v>
      </c>
      <c r="T240">
        <v>175</v>
      </c>
      <c r="U240">
        <v>19010.349999999999</v>
      </c>
      <c r="V240">
        <v>4312.88</v>
      </c>
      <c r="W240">
        <v>14697.47</v>
      </c>
      <c r="X240">
        <v>4929.16</v>
      </c>
      <c r="Y240" t="s">
        <v>56</v>
      </c>
      <c r="Z240">
        <v>12599.52</v>
      </c>
      <c r="AA240">
        <v>2196</v>
      </c>
    </row>
    <row r="241" spans="1:27" x14ac:dyDescent="0.3">
      <c r="A241" t="s">
        <v>714</v>
      </c>
      <c r="B241" s="1">
        <v>45056</v>
      </c>
      <c r="C241" t="s">
        <v>715</v>
      </c>
      <c r="D241" t="s">
        <v>125</v>
      </c>
      <c r="E241">
        <v>4</v>
      </c>
      <c r="F241" t="s">
        <v>90</v>
      </c>
      <c r="G241">
        <v>4</v>
      </c>
      <c r="H241" t="s">
        <v>716</v>
      </c>
      <c r="I241" t="s">
        <v>80</v>
      </c>
      <c r="J241">
        <v>31</v>
      </c>
      <c r="K241" t="s">
        <v>92</v>
      </c>
      <c r="L241" t="s">
        <v>81</v>
      </c>
      <c r="M241" s="1">
        <v>45660</v>
      </c>
      <c r="N241" t="s">
        <v>33</v>
      </c>
      <c r="O241" t="s">
        <v>126</v>
      </c>
      <c r="P241" t="s">
        <v>68</v>
      </c>
      <c r="Q241" t="s">
        <v>120</v>
      </c>
      <c r="R241">
        <v>4301.32</v>
      </c>
      <c r="S241">
        <v>6870.07</v>
      </c>
      <c r="T241">
        <v>243</v>
      </c>
      <c r="U241">
        <v>17132.63</v>
      </c>
      <c r="V241">
        <v>2946.78</v>
      </c>
      <c r="W241">
        <v>14185.85</v>
      </c>
      <c r="X241">
        <v>1600.08</v>
      </c>
      <c r="Y241" t="s">
        <v>56</v>
      </c>
      <c r="Z241">
        <v>27480.28</v>
      </c>
      <c r="AA241">
        <v>10275</v>
      </c>
    </row>
    <row r="242" spans="1:27" x14ac:dyDescent="0.3">
      <c r="A242" t="s">
        <v>717</v>
      </c>
      <c r="B242" s="1">
        <v>45176</v>
      </c>
      <c r="C242" t="s">
        <v>718</v>
      </c>
      <c r="D242" t="s">
        <v>183</v>
      </c>
      <c r="E242">
        <v>2</v>
      </c>
      <c r="F242" t="s">
        <v>51</v>
      </c>
      <c r="G242">
        <v>0</v>
      </c>
      <c r="H242" t="s">
        <v>719</v>
      </c>
      <c r="I242" t="s">
        <v>30</v>
      </c>
      <c r="J242">
        <v>47</v>
      </c>
      <c r="K242" t="s">
        <v>155</v>
      </c>
      <c r="L242" t="s">
        <v>108</v>
      </c>
      <c r="M242" s="1">
        <v>44932</v>
      </c>
      <c r="N242" t="s">
        <v>33</v>
      </c>
      <c r="O242" t="s">
        <v>185</v>
      </c>
      <c r="P242" t="s">
        <v>110</v>
      </c>
      <c r="Q242" t="s">
        <v>36</v>
      </c>
      <c r="R242">
        <v>1358.27</v>
      </c>
      <c r="S242">
        <v>1886.86</v>
      </c>
      <c r="T242">
        <v>153</v>
      </c>
      <c r="U242">
        <v>19633.189999999999</v>
      </c>
      <c r="V242">
        <v>2550.64</v>
      </c>
      <c r="W242">
        <v>17082.55</v>
      </c>
      <c r="X242">
        <v>2772.07</v>
      </c>
      <c r="Y242" t="s">
        <v>83</v>
      </c>
      <c r="Z242">
        <v>3773.72</v>
      </c>
      <c r="AA242">
        <v>1057.1799999999998</v>
      </c>
    </row>
    <row r="243" spans="1:27" x14ac:dyDescent="0.3">
      <c r="A243" t="s">
        <v>720</v>
      </c>
      <c r="B243" s="1">
        <v>44994</v>
      </c>
      <c r="C243" t="s">
        <v>721</v>
      </c>
      <c r="D243" t="s">
        <v>527</v>
      </c>
      <c r="E243">
        <v>6</v>
      </c>
      <c r="F243" t="s">
        <v>78</v>
      </c>
      <c r="G243">
        <v>1</v>
      </c>
      <c r="H243" t="s">
        <v>722</v>
      </c>
      <c r="I243" t="s">
        <v>80</v>
      </c>
      <c r="J243">
        <v>24</v>
      </c>
      <c r="K243" t="s">
        <v>42</v>
      </c>
      <c r="L243" t="s">
        <v>53</v>
      </c>
      <c r="M243" s="1">
        <v>45227</v>
      </c>
      <c r="N243" t="s">
        <v>44</v>
      </c>
      <c r="O243" t="s">
        <v>528</v>
      </c>
      <c r="P243" t="s">
        <v>94</v>
      </c>
      <c r="Q243" t="s">
        <v>46</v>
      </c>
      <c r="R243">
        <v>2643.84</v>
      </c>
      <c r="S243">
        <v>3790.58</v>
      </c>
      <c r="T243">
        <v>63</v>
      </c>
      <c r="U243">
        <v>2741.17</v>
      </c>
      <c r="V243">
        <v>208.58</v>
      </c>
      <c r="W243">
        <v>2532.59</v>
      </c>
      <c r="X243">
        <v>3285.15</v>
      </c>
      <c r="Y243" t="s">
        <v>83</v>
      </c>
      <c r="Z243">
        <v>22743.48</v>
      </c>
      <c r="AA243">
        <v>6880.4399999999987</v>
      </c>
    </row>
    <row r="244" spans="1:27" x14ac:dyDescent="0.3">
      <c r="A244" t="s">
        <v>723</v>
      </c>
      <c r="B244" s="1">
        <v>45239</v>
      </c>
      <c r="C244" t="s">
        <v>585</v>
      </c>
      <c r="D244" t="s">
        <v>287</v>
      </c>
      <c r="E244">
        <v>1</v>
      </c>
      <c r="F244" t="s">
        <v>78</v>
      </c>
      <c r="G244">
        <v>8</v>
      </c>
      <c r="H244" t="s">
        <v>586</v>
      </c>
      <c r="I244" t="s">
        <v>80</v>
      </c>
      <c r="J244">
        <v>36</v>
      </c>
      <c r="K244" t="s">
        <v>73</v>
      </c>
      <c r="L244" t="s">
        <v>43</v>
      </c>
      <c r="M244" s="1">
        <v>45195</v>
      </c>
      <c r="N244" t="s">
        <v>54</v>
      </c>
      <c r="O244" t="s">
        <v>288</v>
      </c>
      <c r="P244" t="s">
        <v>68</v>
      </c>
      <c r="Q244" t="s">
        <v>46</v>
      </c>
      <c r="R244">
        <v>2345.7800000000002</v>
      </c>
      <c r="S244">
        <v>2891.96</v>
      </c>
      <c r="T244">
        <v>122</v>
      </c>
      <c r="U244">
        <v>18082.91</v>
      </c>
      <c r="V244">
        <v>509.59</v>
      </c>
      <c r="W244">
        <v>17573.32</v>
      </c>
      <c r="X244">
        <v>1898.49</v>
      </c>
      <c r="Y244" t="s">
        <v>56</v>
      </c>
      <c r="Z244">
        <v>2891.96</v>
      </c>
      <c r="AA244">
        <v>546.17999999999984</v>
      </c>
    </row>
    <row r="245" spans="1:27" x14ac:dyDescent="0.3">
      <c r="A245" t="s">
        <v>724</v>
      </c>
      <c r="B245" s="1">
        <v>44983</v>
      </c>
      <c r="C245" t="s">
        <v>424</v>
      </c>
      <c r="D245" t="s">
        <v>230</v>
      </c>
      <c r="E245">
        <v>3</v>
      </c>
      <c r="F245" t="s">
        <v>78</v>
      </c>
      <c r="G245">
        <v>18</v>
      </c>
      <c r="H245" t="s">
        <v>425</v>
      </c>
      <c r="I245" t="s">
        <v>30</v>
      </c>
      <c r="J245">
        <v>53</v>
      </c>
      <c r="K245" t="s">
        <v>92</v>
      </c>
      <c r="L245" t="s">
        <v>53</v>
      </c>
      <c r="M245" s="1">
        <v>44905</v>
      </c>
      <c r="N245" t="s">
        <v>33</v>
      </c>
      <c r="O245" t="s">
        <v>232</v>
      </c>
      <c r="P245" t="s">
        <v>110</v>
      </c>
      <c r="Q245" t="s">
        <v>46</v>
      </c>
      <c r="R245">
        <v>4570.75</v>
      </c>
      <c r="S245">
        <v>5891.26</v>
      </c>
      <c r="T245">
        <v>285</v>
      </c>
      <c r="U245">
        <v>2177.89</v>
      </c>
      <c r="V245">
        <v>499.31</v>
      </c>
      <c r="W245">
        <v>1678.58</v>
      </c>
      <c r="X245">
        <v>4120.21</v>
      </c>
      <c r="Y245" t="s">
        <v>47</v>
      </c>
      <c r="Z245">
        <v>17673.78</v>
      </c>
      <c r="AA245">
        <v>3961.5300000000007</v>
      </c>
    </row>
    <row r="246" spans="1:27" x14ac:dyDescent="0.3">
      <c r="A246" t="s">
        <v>725</v>
      </c>
      <c r="B246" s="1">
        <v>45054</v>
      </c>
      <c r="C246" t="s">
        <v>726</v>
      </c>
      <c r="D246" t="s">
        <v>27</v>
      </c>
      <c r="E246">
        <v>3</v>
      </c>
      <c r="F246" t="s">
        <v>78</v>
      </c>
      <c r="G246">
        <v>25</v>
      </c>
      <c r="H246" t="s">
        <v>727</v>
      </c>
      <c r="I246" t="s">
        <v>80</v>
      </c>
      <c r="J246">
        <v>45</v>
      </c>
      <c r="K246" t="s">
        <v>42</v>
      </c>
      <c r="L246" t="s">
        <v>53</v>
      </c>
      <c r="M246" s="1">
        <v>44643</v>
      </c>
      <c r="N246" t="s">
        <v>44</v>
      </c>
      <c r="O246" t="s">
        <v>34</v>
      </c>
      <c r="P246" t="s">
        <v>35</v>
      </c>
      <c r="Q246" t="s">
        <v>36</v>
      </c>
      <c r="R246">
        <v>4318.8599999999997</v>
      </c>
      <c r="S246">
        <v>4880.6400000000003</v>
      </c>
      <c r="T246">
        <v>149</v>
      </c>
      <c r="U246">
        <v>717.14</v>
      </c>
      <c r="V246">
        <v>97.56</v>
      </c>
      <c r="W246">
        <v>619.58000000000004</v>
      </c>
      <c r="X246">
        <v>1232.76</v>
      </c>
      <c r="Y246" t="s">
        <v>37</v>
      </c>
      <c r="Z246">
        <v>14641.920000000002</v>
      </c>
      <c r="AA246">
        <v>1685.340000000002</v>
      </c>
    </row>
    <row r="247" spans="1:27" x14ac:dyDescent="0.3">
      <c r="A247" t="s">
        <v>728</v>
      </c>
      <c r="B247" s="1">
        <v>44951</v>
      </c>
      <c r="C247" t="s">
        <v>729</v>
      </c>
      <c r="D247" t="s">
        <v>207</v>
      </c>
      <c r="E247">
        <v>2</v>
      </c>
      <c r="F247" t="s">
        <v>51</v>
      </c>
      <c r="G247">
        <v>11</v>
      </c>
      <c r="H247" t="s">
        <v>730</v>
      </c>
      <c r="I247" t="s">
        <v>80</v>
      </c>
      <c r="J247">
        <v>41</v>
      </c>
      <c r="K247" t="s">
        <v>31</v>
      </c>
      <c r="L247" t="s">
        <v>43</v>
      </c>
      <c r="M247" s="1">
        <v>45504</v>
      </c>
      <c r="N247" t="s">
        <v>54</v>
      </c>
      <c r="O247" t="s">
        <v>209</v>
      </c>
      <c r="P247" t="s">
        <v>35</v>
      </c>
      <c r="Q247" t="s">
        <v>46</v>
      </c>
      <c r="R247">
        <v>4764.59</v>
      </c>
      <c r="S247">
        <v>5703.68</v>
      </c>
      <c r="T247">
        <v>87</v>
      </c>
      <c r="U247">
        <v>10646.65</v>
      </c>
      <c r="V247">
        <v>2293.46</v>
      </c>
      <c r="W247">
        <v>8353.19</v>
      </c>
      <c r="X247">
        <v>3344.29</v>
      </c>
      <c r="Y247" t="s">
        <v>37</v>
      </c>
      <c r="Z247">
        <v>11407.36</v>
      </c>
      <c r="AA247">
        <v>1878.1800000000003</v>
      </c>
    </row>
    <row r="248" spans="1:27" x14ac:dyDescent="0.3">
      <c r="A248" t="s">
        <v>731</v>
      </c>
      <c r="B248" s="1">
        <v>45184</v>
      </c>
      <c r="C248" t="s">
        <v>732</v>
      </c>
      <c r="D248" t="s">
        <v>190</v>
      </c>
      <c r="E248">
        <v>5</v>
      </c>
      <c r="F248" t="s">
        <v>51</v>
      </c>
      <c r="G248">
        <v>5</v>
      </c>
      <c r="H248" t="s">
        <v>733</v>
      </c>
      <c r="I248" t="s">
        <v>80</v>
      </c>
      <c r="J248">
        <v>32</v>
      </c>
      <c r="K248" t="s">
        <v>73</v>
      </c>
      <c r="L248" t="s">
        <v>32</v>
      </c>
      <c r="M248" s="1">
        <v>45095</v>
      </c>
      <c r="N248" t="s">
        <v>54</v>
      </c>
      <c r="O248" t="s">
        <v>191</v>
      </c>
      <c r="P248" t="s">
        <v>68</v>
      </c>
      <c r="Q248" t="s">
        <v>120</v>
      </c>
      <c r="R248">
        <v>2412.25</v>
      </c>
      <c r="S248">
        <v>3672.51</v>
      </c>
      <c r="T248">
        <v>100</v>
      </c>
      <c r="U248">
        <v>1083.94</v>
      </c>
      <c r="V248">
        <v>134.38</v>
      </c>
      <c r="W248">
        <v>949.56</v>
      </c>
      <c r="X248">
        <v>1749.41</v>
      </c>
      <c r="Y248" t="s">
        <v>83</v>
      </c>
      <c r="Z248">
        <v>18362.550000000003</v>
      </c>
      <c r="AA248">
        <v>6301.3000000000011</v>
      </c>
    </row>
    <row r="249" spans="1:27" x14ac:dyDescent="0.3">
      <c r="A249" t="s">
        <v>734</v>
      </c>
      <c r="B249" s="1">
        <v>45275</v>
      </c>
      <c r="C249" t="s">
        <v>544</v>
      </c>
      <c r="D249" t="s">
        <v>50</v>
      </c>
      <c r="E249">
        <v>6</v>
      </c>
      <c r="F249" t="s">
        <v>78</v>
      </c>
      <c r="G249">
        <v>12</v>
      </c>
      <c r="H249" t="s">
        <v>545</v>
      </c>
      <c r="I249" t="s">
        <v>30</v>
      </c>
      <c r="J249">
        <v>24</v>
      </c>
      <c r="K249" t="s">
        <v>60</v>
      </c>
      <c r="L249" t="s">
        <v>32</v>
      </c>
      <c r="M249" s="1">
        <v>44885</v>
      </c>
      <c r="N249" t="s">
        <v>33</v>
      </c>
      <c r="O249" t="s">
        <v>55</v>
      </c>
      <c r="P249" t="s">
        <v>35</v>
      </c>
      <c r="Q249" t="s">
        <v>46</v>
      </c>
      <c r="R249">
        <v>3612.18</v>
      </c>
      <c r="S249">
        <v>3996.91</v>
      </c>
      <c r="T249">
        <v>92</v>
      </c>
      <c r="U249">
        <v>13921.4</v>
      </c>
      <c r="V249">
        <v>544.63</v>
      </c>
      <c r="W249">
        <v>13376.77</v>
      </c>
      <c r="X249">
        <v>3766.79</v>
      </c>
      <c r="Y249" t="s">
        <v>37</v>
      </c>
      <c r="Z249">
        <v>23981.46</v>
      </c>
      <c r="AA249">
        <v>2308.38</v>
      </c>
    </row>
    <row r="250" spans="1:27" x14ac:dyDescent="0.3">
      <c r="A250" t="s">
        <v>735</v>
      </c>
      <c r="B250" s="1">
        <v>45120</v>
      </c>
      <c r="C250" t="s">
        <v>736</v>
      </c>
      <c r="D250" t="s">
        <v>117</v>
      </c>
      <c r="E250">
        <v>4</v>
      </c>
      <c r="F250" t="s">
        <v>90</v>
      </c>
      <c r="G250">
        <v>7</v>
      </c>
      <c r="H250" t="s">
        <v>737</v>
      </c>
      <c r="I250" t="s">
        <v>30</v>
      </c>
      <c r="J250">
        <v>37</v>
      </c>
      <c r="K250" t="s">
        <v>65</v>
      </c>
      <c r="L250" t="s">
        <v>43</v>
      </c>
      <c r="M250" s="1">
        <v>45600</v>
      </c>
      <c r="N250" t="s">
        <v>54</v>
      </c>
      <c r="O250" t="s">
        <v>119</v>
      </c>
      <c r="P250" t="s">
        <v>110</v>
      </c>
      <c r="Q250" t="s">
        <v>120</v>
      </c>
      <c r="R250">
        <v>1390.81</v>
      </c>
      <c r="S250">
        <v>1874.61</v>
      </c>
      <c r="T250">
        <v>262</v>
      </c>
      <c r="U250">
        <v>4595.47</v>
      </c>
      <c r="V250">
        <v>209.05</v>
      </c>
      <c r="W250">
        <v>4386.42</v>
      </c>
      <c r="X250">
        <v>232.51</v>
      </c>
      <c r="Y250" t="s">
        <v>56</v>
      </c>
      <c r="Z250">
        <v>7498.44</v>
      </c>
      <c r="AA250">
        <v>1935.1999999999998</v>
      </c>
    </row>
    <row r="251" spans="1:27" x14ac:dyDescent="0.3">
      <c r="A251" t="s">
        <v>738</v>
      </c>
      <c r="B251" s="1">
        <v>45236</v>
      </c>
      <c r="C251" t="s">
        <v>481</v>
      </c>
      <c r="D251" t="s">
        <v>342</v>
      </c>
      <c r="E251">
        <v>1</v>
      </c>
      <c r="F251" t="s">
        <v>78</v>
      </c>
      <c r="G251">
        <v>24</v>
      </c>
      <c r="H251" t="s">
        <v>482</v>
      </c>
      <c r="I251" t="s">
        <v>80</v>
      </c>
      <c r="J251">
        <v>25</v>
      </c>
      <c r="K251" t="s">
        <v>53</v>
      </c>
      <c r="L251" t="s">
        <v>108</v>
      </c>
      <c r="M251" s="1">
        <v>45315</v>
      </c>
      <c r="N251" t="s">
        <v>33</v>
      </c>
      <c r="O251" t="s">
        <v>344</v>
      </c>
      <c r="P251" t="s">
        <v>35</v>
      </c>
      <c r="Q251" t="s">
        <v>120</v>
      </c>
      <c r="R251">
        <v>1830.22</v>
      </c>
      <c r="S251">
        <v>2820.9</v>
      </c>
      <c r="T251">
        <v>11</v>
      </c>
      <c r="U251">
        <v>5790.73</v>
      </c>
      <c r="V251">
        <v>741.64</v>
      </c>
      <c r="W251">
        <v>5049.09</v>
      </c>
      <c r="X251">
        <v>3335.05</v>
      </c>
      <c r="Y251" t="s">
        <v>37</v>
      </c>
      <c r="Z251">
        <v>2820.9</v>
      </c>
      <c r="AA251">
        <v>990.68000000000006</v>
      </c>
    </row>
    <row r="252" spans="1:27" x14ac:dyDescent="0.3">
      <c r="A252" t="s">
        <v>739</v>
      </c>
      <c r="B252" s="1">
        <v>45144</v>
      </c>
      <c r="C252" t="s">
        <v>630</v>
      </c>
      <c r="D252" t="s">
        <v>246</v>
      </c>
      <c r="E252">
        <v>4</v>
      </c>
      <c r="F252" t="s">
        <v>28</v>
      </c>
      <c r="G252">
        <v>16</v>
      </c>
      <c r="H252" t="s">
        <v>631</v>
      </c>
      <c r="I252" t="s">
        <v>30</v>
      </c>
      <c r="J252">
        <v>45</v>
      </c>
      <c r="K252" t="s">
        <v>73</v>
      </c>
      <c r="L252" t="s">
        <v>32</v>
      </c>
      <c r="M252" s="1">
        <v>44941</v>
      </c>
      <c r="N252" t="s">
        <v>54</v>
      </c>
      <c r="O252" t="s">
        <v>247</v>
      </c>
      <c r="P252" t="s">
        <v>110</v>
      </c>
      <c r="Q252" t="s">
        <v>120</v>
      </c>
      <c r="R252">
        <v>4133.24</v>
      </c>
      <c r="S252">
        <v>6302.13</v>
      </c>
      <c r="T252">
        <v>299</v>
      </c>
      <c r="U252">
        <v>3200.72</v>
      </c>
      <c r="V252">
        <v>414.03</v>
      </c>
      <c r="W252">
        <v>2786.69</v>
      </c>
      <c r="X252">
        <v>538.96</v>
      </c>
      <c r="Y252" t="s">
        <v>37</v>
      </c>
      <c r="Z252">
        <v>25208.52</v>
      </c>
      <c r="AA252">
        <v>8675.5600000000013</v>
      </c>
    </row>
    <row r="253" spans="1:27" x14ac:dyDescent="0.3">
      <c r="A253" t="s">
        <v>740</v>
      </c>
      <c r="B253" s="1">
        <v>45200</v>
      </c>
      <c r="C253" t="s">
        <v>741</v>
      </c>
      <c r="D253" t="s">
        <v>650</v>
      </c>
      <c r="E253">
        <v>3</v>
      </c>
      <c r="F253" t="s">
        <v>78</v>
      </c>
      <c r="G253">
        <v>16</v>
      </c>
      <c r="H253" t="s">
        <v>742</v>
      </c>
      <c r="I253" t="s">
        <v>30</v>
      </c>
      <c r="J253">
        <v>23</v>
      </c>
      <c r="K253" t="s">
        <v>53</v>
      </c>
      <c r="L253" t="s">
        <v>66</v>
      </c>
      <c r="M253" s="1">
        <v>44877</v>
      </c>
      <c r="N253" t="s">
        <v>54</v>
      </c>
      <c r="O253" t="s">
        <v>652</v>
      </c>
      <c r="P253" t="s">
        <v>110</v>
      </c>
      <c r="Q253" t="s">
        <v>46</v>
      </c>
      <c r="R253">
        <v>4581.92</v>
      </c>
      <c r="S253">
        <v>5789.36</v>
      </c>
      <c r="T253">
        <v>140</v>
      </c>
      <c r="U253">
        <v>2652.37</v>
      </c>
      <c r="V253">
        <v>6.42</v>
      </c>
      <c r="W253">
        <v>2645.95</v>
      </c>
      <c r="X253">
        <v>1122.04</v>
      </c>
      <c r="Y253" t="s">
        <v>47</v>
      </c>
      <c r="Z253">
        <v>17368.079999999998</v>
      </c>
      <c r="AA253">
        <v>3622.3199999999988</v>
      </c>
    </row>
    <row r="254" spans="1:27" x14ac:dyDescent="0.3">
      <c r="A254" t="s">
        <v>743</v>
      </c>
      <c r="B254" s="1">
        <v>45210</v>
      </c>
      <c r="C254" t="s">
        <v>721</v>
      </c>
      <c r="D254" t="s">
        <v>322</v>
      </c>
      <c r="E254">
        <v>5</v>
      </c>
      <c r="F254" t="s">
        <v>28</v>
      </c>
      <c r="G254">
        <v>19</v>
      </c>
      <c r="H254" t="s">
        <v>722</v>
      </c>
      <c r="I254" t="s">
        <v>80</v>
      </c>
      <c r="J254">
        <v>24</v>
      </c>
      <c r="K254" t="s">
        <v>42</v>
      </c>
      <c r="L254" t="s">
        <v>53</v>
      </c>
      <c r="M254" s="1">
        <v>45227</v>
      </c>
      <c r="N254" t="s">
        <v>44</v>
      </c>
      <c r="O254" t="s">
        <v>324</v>
      </c>
      <c r="P254" t="s">
        <v>35</v>
      </c>
      <c r="Q254" t="s">
        <v>111</v>
      </c>
      <c r="R254">
        <v>3696.72</v>
      </c>
      <c r="S254">
        <v>4397.13</v>
      </c>
      <c r="T254">
        <v>92</v>
      </c>
      <c r="U254">
        <v>4569.79</v>
      </c>
      <c r="V254">
        <v>751.27</v>
      </c>
      <c r="W254">
        <v>3818.52</v>
      </c>
      <c r="X254">
        <v>2114.39</v>
      </c>
      <c r="Y254" t="s">
        <v>37</v>
      </c>
      <c r="Z254">
        <v>21985.65</v>
      </c>
      <c r="AA254">
        <v>3502.0500000000015</v>
      </c>
    </row>
    <row r="255" spans="1:27" x14ac:dyDescent="0.3">
      <c r="A255" t="s">
        <v>744</v>
      </c>
      <c r="B255" s="1">
        <v>45103</v>
      </c>
      <c r="C255" t="s">
        <v>318</v>
      </c>
      <c r="D255" t="s">
        <v>269</v>
      </c>
      <c r="E255">
        <v>6</v>
      </c>
      <c r="F255" t="s">
        <v>90</v>
      </c>
      <c r="G255">
        <v>20</v>
      </c>
      <c r="H255" t="s">
        <v>319</v>
      </c>
      <c r="I255" t="s">
        <v>30</v>
      </c>
      <c r="J255">
        <v>41</v>
      </c>
      <c r="K255" t="s">
        <v>53</v>
      </c>
      <c r="L255" t="s">
        <v>81</v>
      </c>
      <c r="M255" s="1">
        <v>45379</v>
      </c>
      <c r="N255" t="s">
        <v>44</v>
      </c>
      <c r="O255" t="s">
        <v>270</v>
      </c>
      <c r="P255" t="s">
        <v>35</v>
      </c>
      <c r="Q255" t="s">
        <v>120</v>
      </c>
      <c r="R255">
        <v>4675.05</v>
      </c>
      <c r="S255">
        <v>5769.35</v>
      </c>
      <c r="T255">
        <v>260</v>
      </c>
      <c r="U255">
        <v>6035.18</v>
      </c>
      <c r="V255">
        <v>1460.35</v>
      </c>
      <c r="W255">
        <v>4574.83</v>
      </c>
      <c r="X255">
        <v>2584.89</v>
      </c>
      <c r="Y255" t="s">
        <v>56</v>
      </c>
      <c r="Z255">
        <v>34616.100000000006</v>
      </c>
      <c r="AA255">
        <v>6565.8000000000011</v>
      </c>
    </row>
    <row r="256" spans="1:27" x14ac:dyDescent="0.3">
      <c r="A256" t="s">
        <v>745</v>
      </c>
      <c r="B256" s="1">
        <v>45184</v>
      </c>
      <c r="C256" t="s">
        <v>746</v>
      </c>
      <c r="D256" t="s">
        <v>527</v>
      </c>
      <c r="E256">
        <v>6</v>
      </c>
      <c r="F256" t="s">
        <v>78</v>
      </c>
      <c r="G256">
        <v>22</v>
      </c>
      <c r="H256" t="s">
        <v>747</v>
      </c>
      <c r="I256" t="s">
        <v>80</v>
      </c>
      <c r="J256">
        <v>46</v>
      </c>
      <c r="K256" t="s">
        <v>42</v>
      </c>
      <c r="L256" t="s">
        <v>66</v>
      </c>
      <c r="M256" s="1">
        <v>44678</v>
      </c>
      <c r="N256" t="s">
        <v>33</v>
      </c>
      <c r="O256" t="s">
        <v>528</v>
      </c>
      <c r="P256" t="s">
        <v>94</v>
      </c>
      <c r="Q256" t="s">
        <v>46</v>
      </c>
      <c r="R256">
        <v>2643.84</v>
      </c>
      <c r="S256">
        <v>3790.58</v>
      </c>
      <c r="T256">
        <v>63</v>
      </c>
      <c r="U256">
        <v>9387.36</v>
      </c>
      <c r="V256">
        <v>1596.89</v>
      </c>
      <c r="W256">
        <v>7790.47</v>
      </c>
      <c r="X256">
        <v>610.33000000000004</v>
      </c>
      <c r="Y256" t="s">
        <v>83</v>
      </c>
      <c r="Z256">
        <v>22743.48</v>
      </c>
      <c r="AA256">
        <v>6880.4399999999987</v>
      </c>
    </row>
    <row r="257" spans="1:27" x14ac:dyDescent="0.3">
      <c r="A257" t="s">
        <v>748</v>
      </c>
      <c r="B257" s="1">
        <v>45116</v>
      </c>
      <c r="C257" t="s">
        <v>749</v>
      </c>
      <c r="D257" t="s">
        <v>269</v>
      </c>
      <c r="E257">
        <v>4</v>
      </c>
      <c r="F257" t="s">
        <v>78</v>
      </c>
      <c r="G257">
        <v>21</v>
      </c>
      <c r="H257" t="s">
        <v>750</v>
      </c>
      <c r="I257" t="s">
        <v>30</v>
      </c>
      <c r="J257">
        <v>37</v>
      </c>
      <c r="K257" t="s">
        <v>155</v>
      </c>
      <c r="L257" t="s">
        <v>32</v>
      </c>
      <c r="M257" s="1">
        <v>45308</v>
      </c>
      <c r="N257" t="s">
        <v>33</v>
      </c>
      <c r="O257" t="s">
        <v>270</v>
      </c>
      <c r="P257" t="s">
        <v>35</v>
      </c>
      <c r="Q257" t="s">
        <v>120</v>
      </c>
      <c r="R257">
        <v>4675.05</v>
      </c>
      <c r="S257">
        <v>5769.35</v>
      </c>
      <c r="T257">
        <v>260</v>
      </c>
      <c r="U257">
        <v>4320.47</v>
      </c>
      <c r="V257">
        <v>90.91</v>
      </c>
      <c r="W257">
        <v>4229.5600000000004</v>
      </c>
      <c r="X257">
        <v>1155.74</v>
      </c>
      <c r="Y257" t="s">
        <v>83</v>
      </c>
      <c r="Z257">
        <v>23077.4</v>
      </c>
      <c r="AA257">
        <v>4377.2000000000007</v>
      </c>
    </row>
    <row r="258" spans="1:27" x14ac:dyDescent="0.3">
      <c r="A258" t="s">
        <v>751</v>
      </c>
      <c r="B258" s="1">
        <v>45012</v>
      </c>
      <c r="C258" t="s">
        <v>752</v>
      </c>
      <c r="D258" t="s">
        <v>117</v>
      </c>
      <c r="E258">
        <v>5</v>
      </c>
      <c r="F258" t="s">
        <v>78</v>
      </c>
      <c r="G258">
        <v>11</v>
      </c>
      <c r="H258" t="s">
        <v>753</v>
      </c>
      <c r="I258" t="s">
        <v>30</v>
      </c>
      <c r="J258">
        <v>48</v>
      </c>
      <c r="K258" t="s">
        <v>155</v>
      </c>
      <c r="L258" t="s">
        <v>32</v>
      </c>
      <c r="M258" s="1">
        <v>44866</v>
      </c>
      <c r="N258" t="s">
        <v>54</v>
      </c>
      <c r="O258" t="s">
        <v>119</v>
      </c>
      <c r="P258" t="s">
        <v>110</v>
      </c>
      <c r="Q258" t="s">
        <v>120</v>
      </c>
      <c r="R258">
        <v>1390.81</v>
      </c>
      <c r="S258">
        <v>1874.61</v>
      </c>
      <c r="T258">
        <v>262</v>
      </c>
      <c r="U258">
        <v>5079.67</v>
      </c>
      <c r="V258">
        <v>156.34</v>
      </c>
      <c r="W258">
        <v>4923.33</v>
      </c>
      <c r="X258">
        <v>3153.76</v>
      </c>
      <c r="Y258" t="s">
        <v>47</v>
      </c>
      <c r="Z258">
        <v>9373.0499999999993</v>
      </c>
      <c r="AA258">
        <v>2419</v>
      </c>
    </row>
    <row r="259" spans="1:27" x14ac:dyDescent="0.3">
      <c r="A259" t="s">
        <v>754</v>
      </c>
      <c r="B259" s="1">
        <v>44960</v>
      </c>
      <c r="C259" t="s">
        <v>518</v>
      </c>
      <c r="D259" t="s">
        <v>287</v>
      </c>
      <c r="E259">
        <v>5</v>
      </c>
      <c r="F259" t="s">
        <v>90</v>
      </c>
      <c r="G259">
        <v>10</v>
      </c>
      <c r="H259" t="s">
        <v>519</v>
      </c>
      <c r="I259" t="s">
        <v>30</v>
      </c>
      <c r="J259">
        <v>42</v>
      </c>
      <c r="K259" t="s">
        <v>155</v>
      </c>
      <c r="L259" t="s">
        <v>66</v>
      </c>
      <c r="M259" s="1">
        <v>44880</v>
      </c>
      <c r="N259" t="s">
        <v>54</v>
      </c>
      <c r="O259" t="s">
        <v>288</v>
      </c>
      <c r="P259" t="s">
        <v>68</v>
      </c>
      <c r="Q259" t="s">
        <v>46</v>
      </c>
      <c r="R259">
        <v>2345.7800000000002</v>
      </c>
      <c r="S259">
        <v>2891.96</v>
      </c>
      <c r="T259">
        <v>122</v>
      </c>
      <c r="U259">
        <v>15569.41</v>
      </c>
      <c r="V259">
        <v>2210.42</v>
      </c>
      <c r="W259">
        <v>13358.99</v>
      </c>
      <c r="X259">
        <v>3083.16</v>
      </c>
      <c r="Y259" t="s">
        <v>37</v>
      </c>
      <c r="Z259">
        <v>14459.8</v>
      </c>
      <c r="AA259">
        <v>2730.8999999999992</v>
      </c>
    </row>
    <row r="260" spans="1:27" x14ac:dyDescent="0.3">
      <c r="A260" t="s">
        <v>755</v>
      </c>
      <c r="B260" s="1">
        <v>45155</v>
      </c>
      <c r="C260" t="s">
        <v>554</v>
      </c>
      <c r="D260" t="s">
        <v>679</v>
      </c>
      <c r="E260">
        <v>2</v>
      </c>
      <c r="F260" t="s">
        <v>78</v>
      </c>
      <c r="G260">
        <v>14</v>
      </c>
      <c r="H260" t="s">
        <v>555</v>
      </c>
      <c r="I260" t="s">
        <v>80</v>
      </c>
      <c r="J260">
        <v>33</v>
      </c>
      <c r="K260" t="s">
        <v>31</v>
      </c>
      <c r="L260" t="s">
        <v>108</v>
      </c>
      <c r="M260" s="1">
        <v>45546</v>
      </c>
      <c r="N260" t="s">
        <v>54</v>
      </c>
      <c r="O260" t="s">
        <v>681</v>
      </c>
      <c r="P260" t="s">
        <v>35</v>
      </c>
      <c r="Q260" t="s">
        <v>46</v>
      </c>
      <c r="R260">
        <v>2024.37</v>
      </c>
      <c r="S260">
        <v>2982.78</v>
      </c>
      <c r="T260">
        <v>11</v>
      </c>
      <c r="U260">
        <v>5851.56</v>
      </c>
      <c r="V260">
        <v>694.43</v>
      </c>
      <c r="W260">
        <v>5157.13</v>
      </c>
      <c r="X260">
        <v>907.3</v>
      </c>
      <c r="Y260" t="s">
        <v>83</v>
      </c>
      <c r="Z260">
        <v>5965.56</v>
      </c>
      <c r="AA260">
        <v>1916.8200000000006</v>
      </c>
    </row>
    <row r="261" spans="1:27" x14ac:dyDescent="0.3">
      <c r="A261" t="s">
        <v>756</v>
      </c>
      <c r="B261" s="1">
        <v>45014</v>
      </c>
      <c r="C261" t="s">
        <v>389</v>
      </c>
      <c r="D261" t="s">
        <v>153</v>
      </c>
      <c r="E261">
        <v>3</v>
      </c>
      <c r="F261" t="s">
        <v>78</v>
      </c>
      <c r="G261">
        <v>17</v>
      </c>
      <c r="H261" t="s">
        <v>390</v>
      </c>
      <c r="I261" t="s">
        <v>80</v>
      </c>
      <c r="J261">
        <v>39</v>
      </c>
      <c r="K261" t="s">
        <v>65</v>
      </c>
      <c r="L261" t="s">
        <v>108</v>
      </c>
      <c r="M261" s="1">
        <v>44717</v>
      </c>
      <c r="N261" t="s">
        <v>44</v>
      </c>
      <c r="O261" t="s">
        <v>156</v>
      </c>
      <c r="P261" t="s">
        <v>35</v>
      </c>
      <c r="Q261" t="s">
        <v>36</v>
      </c>
      <c r="R261">
        <v>2340.46</v>
      </c>
      <c r="S261">
        <v>2600.46</v>
      </c>
      <c r="T261">
        <v>245</v>
      </c>
      <c r="U261">
        <v>9262.8799999999992</v>
      </c>
      <c r="V261">
        <v>621.79</v>
      </c>
      <c r="W261">
        <v>8641.09</v>
      </c>
      <c r="X261">
        <v>456.38</v>
      </c>
      <c r="Y261" t="s">
        <v>56</v>
      </c>
      <c r="Z261">
        <v>7801.38</v>
      </c>
      <c r="AA261">
        <v>780</v>
      </c>
    </row>
    <row r="262" spans="1:27" x14ac:dyDescent="0.3">
      <c r="A262" t="s">
        <v>757</v>
      </c>
      <c r="B262" s="1">
        <v>44973</v>
      </c>
      <c r="C262" t="s">
        <v>162</v>
      </c>
      <c r="D262" t="s">
        <v>134</v>
      </c>
      <c r="E262">
        <v>3</v>
      </c>
      <c r="F262" t="s">
        <v>51</v>
      </c>
      <c r="G262">
        <v>9</v>
      </c>
      <c r="H262" t="s">
        <v>164</v>
      </c>
      <c r="I262" t="s">
        <v>30</v>
      </c>
      <c r="J262">
        <v>58</v>
      </c>
      <c r="K262" t="s">
        <v>31</v>
      </c>
      <c r="L262" t="s">
        <v>32</v>
      </c>
      <c r="M262" s="1">
        <v>44739</v>
      </c>
      <c r="N262" t="s">
        <v>33</v>
      </c>
      <c r="O262" t="s">
        <v>136</v>
      </c>
      <c r="P262" t="s">
        <v>68</v>
      </c>
      <c r="Q262" t="s">
        <v>46</v>
      </c>
      <c r="R262">
        <v>3023.88</v>
      </c>
      <c r="S262">
        <v>3903.42</v>
      </c>
      <c r="T262">
        <v>217</v>
      </c>
      <c r="U262">
        <v>9069.74</v>
      </c>
      <c r="V262">
        <v>908.96</v>
      </c>
      <c r="W262">
        <v>8160.78</v>
      </c>
      <c r="X262">
        <v>2974.49</v>
      </c>
      <c r="Y262" t="s">
        <v>56</v>
      </c>
      <c r="Z262">
        <v>11710.26</v>
      </c>
      <c r="AA262">
        <v>2638.62</v>
      </c>
    </row>
    <row r="263" spans="1:27" x14ac:dyDescent="0.3">
      <c r="A263" t="s">
        <v>758</v>
      </c>
      <c r="B263" s="1">
        <v>45019</v>
      </c>
      <c r="C263" t="s">
        <v>759</v>
      </c>
      <c r="D263" t="s">
        <v>510</v>
      </c>
      <c r="E263">
        <v>6</v>
      </c>
      <c r="F263" t="s">
        <v>78</v>
      </c>
      <c r="G263">
        <v>5</v>
      </c>
      <c r="H263" t="s">
        <v>760</v>
      </c>
      <c r="I263" t="s">
        <v>80</v>
      </c>
      <c r="J263">
        <v>41</v>
      </c>
      <c r="K263" t="s">
        <v>155</v>
      </c>
      <c r="L263" t="s">
        <v>53</v>
      </c>
      <c r="M263" s="1">
        <v>44752</v>
      </c>
      <c r="N263" t="s">
        <v>54</v>
      </c>
      <c r="O263" t="s">
        <v>512</v>
      </c>
      <c r="P263" t="s">
        <v>110</v>
      </c>
      <c r="Q263" t="s">
        <v>36</v>
      </c>
      <c r="R263">
        <v>952.01</v>
      </c>
      <c r="S263">
        <v>1107.5</v>
      </c>
      <c r="T263">
        <v>162</v>
      </c>
      <c r="U263">
        <v>17815.32</v>
      </c>
      <c r="V263">
        <v>1895.39</v>
      </c>
      <c r="W263">
        <v>15919.93</v>
      </c>
      <c r="X263">
        <v>179.31</v>
      </c>
      <c r="Y263" t="s">
        <v>47</v>
      </c>
      <c r="Z263">
        <v>6645</v>
      </c>
      <c r="AA263">
        <v>932.94</v>
      </c>
    </row>
    <row r="264" spans="1:27" x14ac:dyDescent="0.3">
      <c r="A264" t="s">
        <v>761</v>
      </c>
      <c r="B264" s="1">
        <v>45185</v>
      </c>
      <c r="C264" t="s">
        <v>712</v>
      </c>
      <c r="D264" t="s">
        <v>471</v>
      </c>
      <c r="E264">
        <v>3</v>
      </c>
      <c r="F264" t="s">
        <v>51</v>
      </c>
      <c r="G264">
        <v>0</v>
      </c>
      <c r="H264" t="s">
        <v>713</v>
      </c>
      <c r="I264" t="s">
        <v>80</v>
      </c>
      <c r="J264">
        <v>47</v>
      </c>
      <c r="K264" t="s">
        <v>53</v>
      </c>
      <c r="L264" t="s">
        <v>43</v>
      </c>
      <c r="M264" s="1">
        <v>45085</v>
      </c>
      <c r="N264" t="s">
        <v>33</v>
      </c>
      <c r="O264" t="s">
        <v>473</v>
      </c>
      <c r="P264" t="s">
        <v>68</v>
      </c>
      <c r="Q264" t="s">
        <v>120</v>
      </c>
      <c r="R264">
        <v>1492.62</v>
      </c>
      <c r="S264">
        <v>2285.1999999999998</v>
      </c>
      <c r="T264">
        <v>106</v>
      </c>
      <c r="U264">
        <v>3739.01</v>
      </c>
      <c r="V264">
        <v>43.12</v>
      </c>
      <c r="W264">
        <v>3695.89</v>
      </c>
      <c r="X264">
        <v>838.25</v>
      </c>
      <c r="Y264" t="s">
        <v>37</v>
      </c>
      <c r="Z264">
        <v>6855.5999999999995</v>
      </c>
      <c r="AA264">
        <v>2377.7399999999998</v>
      </c>
    </row>
    <row r="265" spans="1:27" x14ac:dyDescent="0.3">
      <c r="A265" t="s">
        <v>762</v>
      </c>
      <c r="B265" s="1">
        <v>45032</v>
      </c>
      <c r="C265" t="s">
        <v>441</v>
      </c>
      <c r="D265" t="s">
        <v>63</v>
      </c>
      <c r="E265">
        <v>6</v>
      </c>
      <c r="F265" t="s">
        <v>90</v>
      </c>
      <c r="G265">
        <v>24</v>
      </c>
      <c r="H265" t="s">
        <v>442</v>
      </c>
      <c r="I265" t="s">
        <v>30</v>
      </c>
      <c r="J265">
        <v>43</v>
      </c>
      <c r="K265" t="s">
        <v>73</v>
      </c>
      <c r="L265" t="s">
        <v>32</v>
      </c>
      <c r="M265" s="1">
        <v>44709</v>
      </c>
      <c r="N265" t="s">
        <v>44</v>
      </c>
      <c r="O265" t="s">
        <v>67</v>
      </c>
      <c r="P265" t="s">
        <v>68</v>
      </c>
      <c r="Q265" t="s">
        <v>46</v>
      </c>
      <c r="R265">
        <v>2961.83</v>
      </c>
      <c r="S265">
        <v>4189.8100000000004</v>
      </c>
      <c r="T265">
        <v>165</v>
      </c>
      <c r="U265">
        <v>17332.490000000002</v>
      </c>
      <c r="V265">
        <v>807.54</v>
      </c>
      <c r="W265">
        <v>16524.95</v>
      </c>
      <c r="X265">
        <v>3517.73</v>
      </c>
      <c r="Y265" t="s">
        <v>37</v>
      </c>
      <c r="Z265">
        <v>25138.86</v>
      </c>
      <c r="AA265">
        <v>7367.8800000000028</v>
      </c>
    </row>
    <row r="266" spans="1:27" x14ac:dyDescent="0.3">
      <c r="A266" t="s">
        <v>763</v>
      </c>
      <c r="B266" s="1">
        <v>45168</v>
      </c>
      <c r="C266" t="s">
        <v>708</v>
      </c>
      <c r="D266" t="s">
        <v>63</v>
      </c>
      <c r="E266">
        <v>5</v>
      </c>
      <c r="F266" t="s">
        <v>28</v>
      </c>
      <c r="G266">
        <v>20</v>
      </c>
      <c r="H266" t="s">
        <v>709</v>
      </c>
      <c r="I266" t="s">
        <v>80</v>
      </c>
      <c r="J266">
        <v>45</v>
      </c>
      <c r="K266" t="s">
        <v>155</v>
      </c>
      <c r="L266" t="s">
        <v>53</v>
      </c>
      <c r="M266" s="1">
        <v>45424</v>
      </c>
      <c r="N266" t="s">
        <v>54</v>
      </c>
      <c r="O266" t="s">
        <v>67</v>
      </c>
      <c r="P266" t="s">
        <v>68</v>
      </c>
      <c r="Q266" t="s">
        <v>46</v>
      </c>
      <c r="R266">
        <v>2961.83</v>
      </c>
      <c r="S266">
        <v>4189.8100000000004</v>
      </c>
      <c r="T266">
        <v>165</v>
      </c>
      <c r="U266">
        <v>19020.72</v>
      </c>
      <c r="V266">
        <v>2485.06</v>
      </c>
      <c r="W266">
        <v>16535.66</v>
      </c>
      <c r="X266">
        <v>1677.28</v>
      </c>
      <c r="Y266" t="s">
        <v>83</v>
      </c>
      <c r="Z266">
        <v>20949.050000000003</v>
      </c>
      <c r="AA266">
        <v>6139.9000000000024</v>
      </c>
    </row>
    <row r="267" spans="1:27" x14ac:dyDescent="0.3">
      <c r="A267" t="s">
        <v>764</v>
      </c>
      <c r="B267" s="1">
        <v>45196</v>
      </c>
      <c r="C267" t="s">
        <v>403</v>
      </c>
      <c r="D267" t="s">
        <v>27</v>
      </c>
      <c r="E267">
        <v>6</v>
      </c>
      <c r="F267" t="s">
        <v>78</v>
      </c>
      <c r="G267">
        <v>18</v>
      </c>
      <c r="H267" t="s">
        <v>404</v>
      </c>
      <c r="I267" t="s">
        <v>30</v>
      </c>
      <c r="J267">
        <v>33</v>
      </c>
      <c r="K267" t="s">
        <v>92</v>
      </c>
      <c r="L267" t="s">
        <v>108</v>
      </c>
      <c r="M267" s="1">
        <v>44991</v>
      </c>
      <c r="N267" t="s">
        <v>44</v>
      </c>
      <c r="O267" t="s">
        <v>34</v>
      </c>
      <c r="P267" t="s">
        <v>35</v>
      </c>
      <c r="Q267" t="s">
        <v>36</v>
      </c>
      <c r="R267">
        <v>4318.8599999999997</v>
      </c>
      <c r="S267">
        <v>4880.6400000000003</v>
      </c>
      <c r="T267">
        <v>149</v>
      </c>
      <c r="U267">
        <v>8665.41</v>
      </c>
      <c r="V267">
        <v>1924.91</v>
      </c>
      <c r="W267">
        <v>6740.5</v>
      </c>
      <c r="X267">
        <v>460.07</v>
      </c>
      <c r="Y267" t="s">
        <v>56</v>
      </c>
      <c r="Z267">
        <v>29283.840000000004</v>
      </c>
      <c r="AA267">
        <v>3370.6800000000039</v>
      </c>
    </row>
    <row r="268" spans="1:27" x14ac:dyDescent="0.3">
      <c r="A268" t="s">
        <v>765</v>
      </c>
      <c r="B268" s="1">
        <v>44969</v>
      </c>
      <c r="C268" t="s">
        <v>326</v>
      </c>
      <c r="D268" t="s">
        <v>172</v>
      </c>
      <c r="E268">
        <v>3</v>
      </c>
      <c r="F268" t="s">
        <v>28</v>
      </c>
      <c r="G268">
        <v>5</v>
      </c>
      <c r="H268" t="s">
        <v>327</v>
      </c>
      <c r="I268" t="s">
        <v>80</v>
      </c>
      <c r="J268">
        <v>56</v>
      </c>
      <c r="K268" t="s">
        <v>42</v>
      </c>
      <c r="L268" t="s">
        <v>53</v>
      </c>
      <c r="M268" s="1">
        <v>45103</v>
      </c>
      <c r="N268" t="s">
        <v>54</v>
      </c>
      <c r="O268" t="s">
        <v>174</v>
      </c>
      <c r="P268" t="s">
        <v>94</v>
      </c>
      <c r="Q268" t="s">
        <v>120</v>
      </c>
      <c r="R268">
        <v>2787.43</v>
      </c>
      <c r="S268">
        <v>4097.28</v>
      </c>
      <c r="T268">
        <v>278</v>
      </c>
      <c r="U268">
        <v>4708.96</v>
      </c>
      <c r="V268">
        <v>1088.3900000000001</v>
      </c>
      <c r="W268">
        <v>3620.57</v>
      </c>
      <c r="X268">
        <v>2339.15</v>
      </c>
      <c r="Y268" t="s">
        <v>56</v>
      </c>
      <c r="Z268">
        <v>12291.84</v>
      </c>
      <c r="AA268">
        <v>3929.5499999999997</v>
      </c>
    </row>
    <row r="269" spans="1:27" x14ac:dyDescent="0.3">
      <c r="A269" t="s">
        <v>766</v>
      </c>
      <c r="B269" s="1">
        <v>44973</v>
      </c>
      <c r="C269" t="s">
        <v>407</v>
      </c>
      <c r="D269" t="s">
        <v>650</v>
      </c>
      <c r="E269">
        <v>2</v>
      </c>
      <c r="F269" t="s">
        <v>90</v>
      </c>
      <c r="G269">
        <v>0</v>
      </c>
      <c r="H269" t="s">
        <v>409</v>
      </c>
      <c r="I269" t="s">
        <v>80</v>
      </c>
      <c r="J269">
        <v>22</v>
      </c>
      <c r="K269" t="s">
        <v>31</v>
      </c>
      <c r="L269" t="s">
        <v>81</v>
      </c>
      <c r="M269" s="1">
        <v>44661</v>
      </c>
      <c r="N269" t="s">
        <v>44</v>
      </c>
      <c r="O269" t="s">
        <v>652</v>
      </c>
      <c r="P269" t="s">
        <v>110</v>
      </c>
      <c r="Q269" t="s">
        <v>46</v>
      </c>
      <c r="R269">
        <v>4581.92</v>
      </c>
      <c r="S269">
        <v>5789.36</v>
      </c>
      <c r="T269">
        <v>140</v>
      </c>
      <c r="U269">
        <v>19956.11</v>
      </c>
      <c r="V269">
        <v>2337.58</v>
      </c>
      <c r="W269">
        <v>17618.53</v>
      </c>
      <c r="X269">
        <v>3100.08</v>
      </c>
      <c r="Y269" t="s">
        <v>47</v>
      </c>
      <c r="Z269">
        <v>11578.72</v>
      </c>
      <c r="AA269">
        <v>2414.8799999999992</v>
      </c>
    </row>
    <row r="270" spans="1:27" x14ac:dyDescent="0.3">
      <c r="A270" t="s">
        <v>767</v>
      </c>
      <c r="B270" s="1">
        <v>45150</v>
      </c>
      <c r="C270" t="s">
        <v>768</v>
      </c>
      <c r="D270" t="s">
        <v>272</v>
      </c>
      <c r="E270">
        <v>5</v>
      </c>
      <c r="F270" t="s">
        <v>78</v>
      </c>
      <c r="G270">
        <v>3</v>
      </c>
      <c r="H270" t="s">
        <v>769</v>
      </c>
      <c r="I270" t="s">
        <v>30</v>
      </c>
      <c r="J270">
        <v>42</v>
      </c>
      <c r="K270" t="s">
        <v>92</v>
      </c>
      <c r="L270" t="s">
        <v>53</v>
      </c>
      <c r="M270" s="1">
        <v>44591</v>
      </c>
      <c r="N270" t="s">
        <v>44</v>
      </c>
      <c r="O270" t="s">
        <v>273</v>
      </c>
      <c r="P270" t="s">
        <v>68</v>
      </c>
      <c r="Q270" t="s">
        <v>111</v>
      </c>
      <c r="R270">
        <v>1137.26</v>
      </c>
      <c r="S270">
        <v>1649.58</v>
      </c>
      <c r="T270">
        <v>243</v>
      </c>
      <c r="U270">
        <v>13502.01</v>
      </c>
      <c r="V270">
        <v>1628.98</v>
      </c>
      <c r="W270">
        <v>11873.03</v>
      </c>
      <c r="X270">
        <v>3829.4</v>
      </c>
      <c r="Y270" t="s">
        <v>47</v>
      </c>
      <c r="Z270">
        <v>8247.9</v>
      </c>
      <c r="AA270">
        <v>2561.5999999999995</v>
      </c>
    </row>
    <row r="271" spans="1:27" x14ac:dyDescent="0.3">
      <c r="A271" t="s">
        <v>770</v>
      </c>
      <c r="B271" s="1">
        <v>45148</v>
      </c>
      <c r="C271" t="s">
        <v>152</v>
      </c>
      <c r="D271" t="s">
        <v>393</v>
      </c>
      <c r="E271">
        <v>5</v>
      </c>
      <c r="F271" t="s">
        <v>90</v>
      </c>
      <c r="G271">
        <v>21</v>
      </c>
      <c r="H271" t="s">
        <v>154</v>
      </c>
      <c r="I271" t="s">
        <v>80</v>
      </c>
      <c r="J271">
        <v>36</v>
      </c>
      <c r="K271" t="s">
        <v>155</v>
      </c>
      <c r="L271" t="s">
        <v>81</v>
      </c>
      <c r="M271" s="1">
        <v>45103</v>
      </c>
      <c r="N271" t="s">
        <v>33</v>
      </c>
      <c r="O271" t="s">
        <v>395</v>
      </c>
      <c r="P271" t="s">
        <v>35</v>
      </c>
      <c r="Q271" t="s">
        <v>111</v>
      </c>
      <c r="R271">
        <v>4793.34</v>
      </c>
      <c r="S271">
        <v>7058.65</v>
      </c>
      <c r="T271">
        <v>107</v>
      </c>
      <c r="U271">
        <v>13979.46</v>
      </c>
      <c r="V271">
        <v>3257.29</v>
      </c>
      <c r="W271">
        <v>10722.17</v>
      </c>
      <c r="X271">
        <v>3252.06</v>
      </c>
      <c r="Y271" t="s">
        <v>83</v>
      </c>
      <c r="Z271">
        <v>35293.25</v>
      </c>
      <c r="AA271">
        <v>11326.549999999997</v>
      </c>
    </row>
    <row r="272" spans="1:27" x14ac:dyDescent="0.3">
      <c r="A272" t="s">
        <v>771</v>
      </c>
      <c r="B272" s="1">
        <v>45093</v>
      </c>
      <c r="C272" t="s">
        <v>772</v>
      </c>
      <c r="D272" t="s">
        <v>193</v>
      </c>
      <c r="E272">
        <v>2</v>
      </c>
      <c r="F272" t="s">
        <v>78</v>
      </c>
      <c r="G272">
        <v>0</v>
      </c>
      <c r="H272" t="s">
        <v>773</v>
      </c>
      <c r="I272" t="s">
        <v>30</v>
      </c>
      <c r="J272">
        <v>37</v>
      </c>
      <c r="K272" t="s">
        <v>42</v>
      </c>
      <c r="L272" t="s">
        <v>81</v>
      </c>
      <c r="M272" s="1">
        <v>45724</v>
      </c>
      <c r="N272" t="s">
        <v>33</v>
      </c>
      <c r="O272" t="s">
        <v>194</v>
      </c>
      <c r="P272" t="s">
        <v>94</v>
      </c>
      <c r="Q272" t="s">
        <v>120</v>
      </c>
      <c r="R272">
        <v>1267.6600000000001</v>
      </c>
      <c r="S272">
        <v>1481.07</v>
      </c>
      <c r="T272">
        <v>99</v>
      </c>
      <c r="U272">
        <v>5249.51</v>
      </c>
      <c r="V272">
        <v>1296.6600000000001</v>
      </c>
      <c r="W272">
        <v>3952.85</v>
      </c>
      <c r="X272">
        <v>3504.22</v>
      </c>
      <c r="Y272" t="s">
        <v>83</v>
      </c>
      <c r="Z272">
        <v>2962.14</v>
      </c>
      <c r="AA272">
        <v>426.81999999999971</v>
      </c>
    </row>
    <row r="273" spans="1:27" x14ac:dyDescent="0.3">
      <c r="A273" t="s">
        <v>774</v>
      </c>
      <c r="B273" s="1">
        <v>45043</v>
      </c>
      <c r="C273" t="s">
        <v>470</v>
      </c>
      <c r="D273" t="s">
        <v>269</v>
      </c>
      <c r="E273">
        <v>3</v>
      </c>
      <c r="F273" t="s">
        <v>78</v>
      </c>
      <c r="G273">
        <v>24</v>
      </c>
      <c r="H273" t="s">
        <v>472</v>
      </c>
      <c r="I273" t="s">
        <v>30</v>
      </c>
      <c r="J273">
        <v>21</v>
      </c>
      <c r="K273" t="s">
        <v>73</v>
      </c>
      <c r="L273" t="s">
        <v>66</v>
      </c>
      <c r="M273" s="1">
        <v>45489</v>
      </c>
      <c r="N273" t="s">
        <v>33</v>
      </c>
      <c r="O273" t="s">
        <v>270</v>
      </c>
      <c r="P273" t="s">
        <v>35</v>
      </c>
      <c r="Q273" t="s">
        <v>120</v>
      </c>
      <c r="R273">
        <v>4675.05</v>
      </c>
      <c r="S273">
        <v>5769.35</v>
      </c>
      <c r="T273">
        <v>260</v>
      </c>
      <c r="U273">
        <v>12720.55</v>
      </c>
      <c r="V273">
        <v>1189.7</v>
      </c>
      <c r="W273">
        <v>11530.85</v>
      </c>
      <c r="X273">
        <v>4681.84</v>
      </c>
      <c r="Y273" t="s">
        <v>56</v>
      </c>
      <c r="Z273">
        <v>17308.050000000003</v>
      </c>
      <c r="AA273">
        <v>3282.9000000000005</v>
      </c>
    </row>
    <row r="274" spans="1:27" x14ac:dyDescent="0.3">
      <c r="A274" t="s">
        <v>775</v>
      </c>
      <c r="B274" s="1">
        <v>44954</v>
      </c>
      <c r="C274" t="s">
        <v>326</v>
      </c>
      <c r="D274" t="s">
        <v>71</v>
      </c>
      <c r="E274">
        <v>3</v>
      </c>
      <c r="F274" t="s">
        <v>78</v>
      </c>
      <c r="G274">
        <v>20</v>
      </c>
      <c r="H274" t="s">
        <v>327</v>
      </c>
      <c r="I274" t="s">
        <v>80</v>
      </c>
      <c r="J274">
        <v>56</v>
      </c>
      <c r="K274" t="s">
        <v>42</v>
      </c>
      <c r="L274" t="s">
        <v>53</v>
      </c>
      <c r="M274" s="1">
        <v>45103</v>
      </c>
      <c r="N274" t="s">
        <v>54</v>
      </c>
      <c r="O274" t="s">
        <v>74</v>
      </c>
      <c r="P274" t="s">
        <v>35</v>
      </c>
      <c r="Q274" t="s">
        <v>36</v>
      </c>
      <c r="R274">
        <v>3231.26</v>
      </c>
      <c r="S274">
        <v>4308.05</v>
      </c>
      <c r="T274">
        <v>21</v>
      </c>
      <c r="U274">
        <v>13242.09</v>
      </c>
      <c r="V274">
        <v>1251.8</v>
      </c>
      <c r="W274">
        <v>11990.29</v>
      </c>
      <c r="X274">
        <v>4975.87</v>
      </c>
      <c r="Y274" t="s">
        <v>37</v>
      </c>
      <c r="Z274">
        <v>12924.150000000001</v>
      </c>
      <c r="AA274">
        <v>3230.37</v>
      </c>
    </row>
    <row r="275" spans="1:27" x14ac:dyDescent="0.3">
      <c r="A275" t="s">
        <v>776</v>
      </c>
      <c r="B275" s="1">
        <v>45073</v>
      </c>
      <c r="C275" t="s">
        <v>658</v>
      </c>
      <c r="D275" t="s">
        <v>246</v>
      </c>
      <c r="E275">
        <v>5</v>
      </c>
      <c r="F275" t="s">
        <v>78</v>
      </c>
      <c r="G275">
        <v>21</v>
      </c>
      <c r="H275" t="s">
        <v>659</v>
      </c>
      <c r="I275" t="s">
        <v>80</v>
      </c>
      <c r="J275">
        <v>45</v>
      </c>
      <c r="K275" t="s">
        <v>42</v>
      </c>
      <c r="L275" t="s">
        <v>53</v>
      </c>
      <c r="M275" s="1">
        <v>44838</v>
      </c>
      <c r="N275" t="s">
        <v>54</v>
      </c>
      <c r="O275" t="s">
        <v>247</v>
      </c>
      <c r="P275" t="s">
        <v>110</v>
      </c>
      <c r="Q275" t="s">
        <v>120</v>
      </c>
      <c r="R275">
        <v>4133.24</v>
      </c>
      <c r="S275">
        <v>6302.13</v>
      </c>
      <c r="T275">
        <v>299</v>
      </c>
      <c r="U275">
        <v>1360.53</v>
      </c>
      <c r="V275">
        <v>71.7</v>
      </c>
      <c r="W275">
        <v>1288.83</v>
      </c>
      <c r="X275">
        <v>1816.57</v>
      </c>
      <c r="Y275" t="s">
        <v>56</v>
      </c>
      <c r="Z275">
        <v>31510.65</v>
      </c>
      <c r="AA275">
        <v>10844.45</v>
      </c>
    </row>
    <row r="276" spans="1:27" x14ac:dyDescent="0.3">
      <c r="A276" t="s">
        <v>777</v>
      </c>
      <c r="B276" s="1">
        <v>44986</v>
      </c>
      <c r="C276" t="s">
        <v>595</v>
      </c>
      <c r="D276" t="s">
        <v>89</v>
      </c>
      <c r="E276">
        <v>1</v>
      </c>
      <c r="F276" t="s">
        <v>51</v>
      </c>
      <c r="G276">
        <v>15</v>
      </c>
      <c r="H276" t="s">
        <v>596</v>
      </c>
      <c r="I276" t="s">
        <v>80</v>
      </c>
      <c r="J276">
        <v>55</v>
      </c>
      <c r="K276" t="s">
        <v>73</v>
      </c>
      <c r="L276" t="s">
        <v>66</v>
      </c>
      <c r="M276" s="1">
        <v>44682</v>
      </c>
      <c r="N276" t="s">
        <v>54</v>
      </c>
      <c r="O276" t="s">
        <v>93</v>
      </c>
      <c r="P276" t="s">
        <v>94</v>
      </c>
      <c r="Q276" t="s">
        <v>46</v>
      </c>
      <c r="R276">
        <v>1290.44</v>
      </c>
      <c r="S276">
        <v>1756.94</v>
      </c>
      <c r="T276">
        <v>226</v>
      </c>
      <c r="U276">
        <v>4861.92</v>
      </c>
      <c r="V276">
        <v>287.79000000000002</v>
      </c>
      <c r="W276">
        <v>4574.13</v>
      </c>
      <c r="X276">
        <v>4073.16</v>
      </c>
      <c r="Y276" t="s">
        <v>47</v>
      </c>
      <c r="Z276">
        <v>1756.94</v>
      </c>
      <c r="AA276">
        <v>466.5</v>
      </c>
    </row>
    <row r="277" spans="1:27" x14ac:dyDescent="0.3">
      <c r="A277" t="s">
        <v>778</v>
      </c>
      <c r="B277" s="1">
        <v>45116</v>
      </c>
      <c r="C277" t="s">
        <v>779</v>
      </c>
      <c r="D277" t="s">
        <v>197</v>
      </c>
      <c r="E277">
        <v>3</v>
      </c>
      <c r="F277" t="s">
        <v>78</v>
      </c>
      <c r="G277">
        <v>15</v>
      </c>
      <c r="H277" t="s">
        <v>780</v>
      </c>
      <c r="I277" t="s">
        <v>80</v>
      </c>
      <c r="J277">
        <v>29</v>
      </c>
      <c r="K277" t="s">
        <v>92</v>
      </c>
      <c r="L277" t="s">
        <v>108</v>
      </c>
      <c r="M277" s="1">
        <v>45506</v>
      </c>
      <c r="N277" t="s">
        <v>33</v>
      </c>
      <c r="O277" t="s">
        <v>199</v>
      </c>
      <c r="P277" t="s">
        <v>35</v>
      </c>
      <c r="Q277" t="s">
        <v>46</v>
      </c>
      <c r="R277">
        <v>1612.7</v>
      </c>
      <c r="S277">
        <v>1932.63</v>
      </c>
      <c r="T277">
        <v>278</v>
      </c>
      <c r="U277">
        <v>528.62</v>
      </c>
      <c r="V277">
        <v>86.7</v>
      </c>
      <c r="W277">
        <v>441.92</v>
      </c>
      <c r="X277">
        <v>4926.87</v>
      </c>
      <c r="Y277" t="s">
        <v>83</v>
      </c>
      <c r="Z277">
        <v>5797.89</v>
      </c>
      <c r="AA277">
        <v>959.79000000000019</v>
      </c>
    </row>
    <row r="278" spans="1:27" x14ac:dyDescent="0.3">
      <c r="A278" t="s">
        <v>781</v>
      </c>
      <c r="B278" s="1">
        <v>44927</v>
      </c>
      <c r="C278" t="s">
        <v>782</v>
      </c>
      <c r="D278" t="s">
        <v>322</v>
      </c>
      <c r="E278">
        <v>4</v>
      </c>
      <c r="F278" t="s">
        <v>51</v>
      </c>
      <c r="G278">
        <v>25</v>
      </c>
      <c r="H278" t="s">
        <v>783</v>
      </c>
      <c r="I278" t="s">
        <v>30</v>
      </c>
      <c r="J278">
        <v>29</v>
      </c>
      <c r="K278" t="s">
        <v>42</v>
      </c>
      <c r="L278" t="s">
        <v>53</v>
      </c>
      <c r="M278" s="1">
        <v>44925</v>
      </c>
      <c r="N278" t="s">
        <v>44</v>
      </c>
      <c r="O278" t="s">
        <v>324</v>
      </c>
      <c r="P278" t="s">
        <v>35</v>
      </c>
      <c r="Q278" t="s">
        <v>111</v>
      </c>
      <c r="R278">
        <v>3696.72</v>
      </c>
      <c r="S278">
        <v>4397.13</v>
      </c>
      <c r="T278">
        <v>92</v>
      </c>
      <c r="U278">
        <v>12167.45</v>
      </c>
      <c r="V278">
        <v>2109.84</v>
      </c>
      <c r="W278">
        <v>10057.61</v>
      </c>
      <c r="X278">
        <v>1901.14</v>
      </c>
      <c r="Y278" t="s">
        <v>83</v>
      </c>
      <c r="Z278">
        <v>17588.52</v>
      </c>
      <c r="AA278">
        <v>2801.6400000000012</v>
      </c>
    </row>
    <row r="279" spans="1:27" x14ac:dyDescent="0.3">
      <c r="A279" t="s">
        <v>784</v>
      </c>
      <c r="B279" s="1">
        <v>45059</v>
      </c>
      <c r="C279" t="s">
        <v>434</v>
      </c>
      <c r="D279" t="s">
        <v>448</v>
      </c>
      <c r="E279">
        <v>3</v>
      </c>
      <c r="F279" t="s">
        <v>28</v>
      </c>
      <c r="G279">
        <v>11</v>
      </c>
      <c r="H279" t="s">
        <v>435</v>
      </c>
      <c r="I279" t="s">
        <v>80</v>
      </c>
      <c r="J279">
        <v>59</v>
      </c>
      <c r="K279" t="s">
        <v>53</v>
      </c>
      <c r="L279" t="s">
        <v>43</v>
      </c>
      <c r="M279" s="1">
        <v>45296</v>
      </c>
      <c r="N279" t="s">
        <v>44</v>
      </c>
      <c r="O279" t="s">
        <v>449</v>
      </c>
      <c r="P279" t="s">
        <v>110</v>
      </c>
      <c r="Q279" t="s">
        <v>120</v>
      </c>
      <c r="R279">
        <v>4836.3999999999996</v>
      </c>
      <c r="S279">
        <v>7004.05</v>
      </c>
      <c r="T279">
        <v>98</v>
      </c>
      <c r="U279">
        <v>4795.5200000000004</v>
      </c>
      <c r="V279">
        <v>945.2</v>
      </c>
      <c r="W279">
        <v>3850.32</v>
      </c>
      <c r="X279">
        <v>1526.38</v>
      </c>
      <c r="Y279" t="s">
        <v>56</v>
      </c>
      <c r="Z279">
        <v>21012.15</v>
      </c>
      <c r="AA279">
        <v>6502.9500000000016</v>
      </c>
    </row>
    <row r="280" spans="1:27" x14ac:dyDescent="0.3">
      <c r="A280" t="s">
        <v>785</v>
      </c>
      <c r="B280" s="1">
        <v>44967</v>
      </c>
      <c r="C280" t="s">
        <v>752</v>
      </c>
      <c r="D280" t="s">
        <v>329</v>
      </c>
      <c r="E280">
        <v>5</v>
      </c>
      <c r="F280" t="s">
        <v>90</v>
      </c>
      <c r="G280">
        <v>18</v>
      </c>
      <c r="H280" t="s">
        <v>753</v>
      </c>
      <c r="I280" t="s">
        <v>30</v>
      </c>
      <c r="J280">
        <v>48</v>
      </c>
      <c r="K280" t="s">
        <v>155</v>
      </c>
      <c r="L280" t="s">
        <v>32</v>
      </c>
      <c r="M280" s="1">
        <v>44866</v>
      </c>
      <c r="N280" t="s">
        <v>54</v>
      </c>
      <c r="O280" t="s">
        <v>330</v>
      </c>
      <c r="P280" t="s">
        <v>94</v>
      </c>
      <c r="Q280" t="s">
        <v>46</v>
      </c>
      <c r="R280">
        <v>3358.26</v>
      </c>
      <c r="S280">
        <v>4345.1099999999997</v>
      </c>
      <c r="T280">
        <v>179</v>
      </c>
      <c r="U280">
        <v>15168.68</v>
      </c>
      <c r="V280">
        <v>2418.9</v>
      </c>
      <c r="W280">
        <v>12749.78</v>
      </c>
      <c r="X280">
        <v>2444.9299999999998</v>
      </c>
      <c r="Y280" t="s">
        <v>37</v>
      </c>
      <c r="Z280">
        <v>21725.55</v>
      </c>
      <c r="AA280">
        <v>4934.2499999999973</v>
      </c>
    </row>
    <row r="281" spans="1:27" x14ac:dyDescent="0.3">
      <c r="A281" t="s">
        <v>786</v>
      </c>
      <c r="B281" s="1">
        <v>44976</v>
      </c>
      <c r="C281" t="s">
        <v>475</v>
      </c>
      <c r="D281" t="s">
        <v>177</v>
      </c>
      <c r="E281">
        <v>4</v>
      </c>
      <c r="F281" t="s">
        <v>90</v>
      </c>
      <c r="G281">
        <v>13</v>
      </c>
      <c r="H281" t="s">
        <v>476</v>
      </c>
      <c r="I281" t="s">
        <v>80</v>
      </c>
      <c r="J281">
        <v>41</v>
      </c>
      <c r="K281" t="s">
        <v>60</v>
      </c>
      <c r="L281" t="s">
        <v>53</v>
      </c>
      <c r="M281" s="1">
        <v>45192</v>
      </c>
      <c r="N281" t="s">
        <v>44</v>
      </c>
      <c r="O281" t="s">
        <v>179</v>
      </c>
      <c r="P281" t="s">
        <v>35</v>
      </c>
      <c r="Q281" t="s">
        <v>46</v>
      </c>
      <c r="R281">
        <v>926.86</v>
      </c>
      <c r="S281">
        <v>1109.73</v>
      </c>
      <c r="T281">
        <v>287</v>
      </c>
      <c r="U281">
        <v>3091.48</v>
      </c>
      <c r="V281">
        <v>87.54</v>
      </c>
      <c r="W281">
        <v>3003.94</v>
      </c>
      <c r="X281">
        <v>993.75</v>
      </c>
      <c r="Y281" t="s">
        <v>47</v>
      </c>
      <c r="Z281">
        <v>4438.92</v>
      </c>
      <c r="AA281">
        <v>731.48</v>
      </c>
    </row>
    <row r="282" spans="1:27" x14ac:dyDescent="0.3">
      <c r="A282" t="s">
        <v>787</v>
      </c>
      <c r="B282" s="1">
        <v>45073</v>
      </c>
      <c r="C282" t="s">
        <v>206</v>
      </c>
      <c r="D282" t="s">
        <v>89</v>
      </c>
      <c r="E282">
        <v>2</v>
      </c>
      <c r="F282" t="s">
        <v>51</v>
      </c>
      <c r="G282">
        <v>17</v>
      </c>
      <c r="H282" t="s">
        <v>208</v>
      </c>
      <c r="I282" t="s">
        <v>30</v>
      </c>
      <c r="J282">
        <v>23</v>
      </c>
      <c r="K282" t="s">
        <v>155</v>
      </c>
      <c r="L282" t="s">
        <v>108</v>
      </c>
      <c r="M282" s="1">
        <v>44688</v>
      </c>
      <c r="N282" t="s">
        <v>44</v>
      </c>
      <c r="O282" t="s">
        <v>93</v>
      </c>
      <c r="P282" t="s">
        <v>94</v>
      </c>
      <c r="Q282" t="s">
        <v>46</v>
      </c>
      <c r="R282">
        <v>1290.44</v>
      </c>
      <c r="S282">
        <v>1756.94</v>
      </c>
      <c r="T282">
        <v>226</v>
      </c>
      <c r="U282">
        <v>7963.31</v>
      </c>
      <c r="V282">
        <v>927.31</v>
      </c>
      <c r="W282">
        <v>7036</v>
      </c>
      <c r="X282">
        <v>4786.5</v>
      </c>
      <c r="Y282" t="s">
        <v>37</v>
      </c>
      <c r="Z282">
        <v>3513.88</v>
      </c>
      <c r="AA282">
        <v>933</v>
      </c>
    </row>
    <row r="283" spans="1:27" x14ac:dyDescent="0.3">
      <c r="A283" t="s">
        <v>788</v>
      </c>
      <c r="B283" s="1">
        <v>45042</v>
      </c>
      <c r="C283" t="s">
        <v>782</v>
      </c>
      <c r="D283" t="s">
        <v>375</v>
      </c>
      <c r="E283">
        <v>6</v>
      </c>
      <c r="F283" t="s">
        <v>28</v>
      </c>
      <c r="G283">
        <v>23</v>
      </c>
      <c r="H283" t="s">
        <v>783</v>
      </c>
      <c r="I283" t="s">
        <v>30</v>
      </c>
      <c r="J283">
        <v>29</v>
      </c>
      <c r="K283" t="s">
        <v>42</v>
      </c>
      <c r="L283" t="s">
        <v>53</v>
      </c>
      <c r="M283" s="1">
        <v>44925</v>
      </c>
      <c r="N283" t="s">
        <v>44</v>
      </c>
      <c r="O283" t="s">
        <v>377</v>
      </c>
      <c r="P283" t="s">
        <v>94</v>
      </c>
      <c r="Q283" t="s">
        <v>36</v>
      </c>
      <c r="R283">
        <v>2849.7</v>
      </c>
      <c r="S283">
        <v>3862</v>
      </c>
      <c r="T283">
        <v>78</v>
      </c>
      <c r="U283">
        <v>8018.87</v>
      </c>
      <c r="V283">
        <v>903.67</v>
      </c>
      <c r="W283">
        <v>7115.2</v>
      </c>
      <c r="X283">
        <v>759.88</v>
      </c>
      <c r="Y283" t="s">
        <v>37</v>
      </c>
      <c r="Z283">
        <v>23172</v>
      </c>
      <c r="AA283">
        <v>6073.8000000000011</v>
      </c>
    </row>
    <row r="284" spans="1:27" x14ac:dyDescent="0.3">
      <c r="A284" t="s">
        <v>789</v>
      </c>
      <c r="B284" s="1">
        <v>45120</v>
      </c>
      <c r="C284" t="s">
        <v>298</v>
      </c>
      <c r="D284" t="s">
        <v>399</v>
      </c>
      <c r="E284">
        <v>5</v>
      </c>
      <c r="F284" t="s">
        <v>51</v>
      </c>
      <c r="G284">
        <v>7</v>
      </c>
      <c r="H284" t="s">
        <v>299</v>
      </c>
      <c r="I284" t="s">
        <v>30</v>
      </c>
      <c r="J284">
        <v>60</v>
      </c>
      <c r="K284" t="s">
        <v>60</v>
      </c>
      <c r="L284" t="s">
        <v>53</v>
      </c>
      <c r="M284" s="1">
        <v>45201</v>
      </c>
      <c r="N284" t="s">
        <v>44</v>
      </c>
      <c r="O284" t="s">
        <v>400</v>
      </c>
      <c r="P284" t="s">
        <v>94</v>
      </c>
      <c r="Q284" t="s">
        <v>46</v>
      </c>
      <c r="R284">
        <v>828.79</v>
      </c>
      <c r="S284">
        <v>1227.1300000000001</v>
      </c>
      <c r="T284">
        <v>228</v>
      </c>
      <c r="U284">
        <v>3930.42</v>
      </c>
      <c r="V284">
        <v>778.42</v>
      </c>
      <c r="W284">
        <v>3152</v>
      </c>
      <c r="X284">
        <v>592.88</v>
      </c>
      <c r="Y284" t="s">
        <v>37</v>
      </c>
      <c r="Z284">
        <v>6135.6500000000005</v>
      </c>
      <c r="AA284">
        <v>1991.7000000000007</v>
      </c>
    </row>
    <row r="285" spans="1:27" x14ac:dyDescent="0.3">
      <c r="A285" t="s">
        <v>790</v>
      </c>
      <c r="B285" s="1">
        <v>45200</v>
      </c>
      <c r="C285" t="s">
        <v>732</v>
      </c>
      <c r="D285" t="s">
        <v>259</v>
      </c>
      <c r="E285">
        <v>1</v>
      </c>
      <c r="F285" t="s">
        <v>51</v>
      </c>
      <c r="G285">
        <v>2</v>
      </c>
      <c r="H285" t="s">
        <v>733</v>
      </c>
      <c r="I285" t="s">
        <v>80</v>
      </c>
      <c r="J285">
        <v>32</v>
      </c>
      <c r="K285" t="s">
        <v>73</v>
      </c>
      <c r="L285" t="s">
        <v>32</v>
      </c>
      <c r="M285" s="1">
        <v>45095</v>
      </c>
      <c r="N285" t="s">
        <v>54</v>
      </c>
      <c r="O285" t="s">
        <v>261</v>
      </c>
      <c r="P285" t="s">
        <v>94</v>
      </c>
      <c r="Q285" t="s">
        <v>111</v>
      </c>
      <c r="R285">
        <v>4426.51</v>
      </c>
      <c r="S285">
        <v>5123.7299999999996</v>
      </c>
      <c r="T285">
        <v>298</v>
      </c>
      <c r="U285">
        <v>5457.38</v>
      </c>
      <c r="V285">
        <v>820.04</v>
      </c>
      <c r="W285">
        <v>4637.34</v>
      </c>
      <c r="X285">
        <v>1631.02</v>
      </c>
      <c r="Y285" t="s">
        <v>47</v>
      </c>
      <c r="Z285">
        <v>5123.7299999999996</v>
      </c>
      <c r="AA285">
        <v>697.21999999999935</v>
      </c>
    </row>
    <row r="286" spans="1:27" x14ac:dyDescent="0.3">
      <c r="A286" t="s">
        <v>791</v>
      </c>
      <c r="B286" s="1">
        <v>45225</v>
      </c>
      <c r="C286" t="s">
        <v>505</v>
      </c>
      <c r="D286" t="s">
        <v>102</v>
      </c>
      <c r="E286">
        <v>5</v>
      </c>
      <c r="F286" t="s">
        <v>28</v>
      </c>
      <c r="G286">
        <v>9</v>
      </c>
      <c r="H286" t="s">
        <v>506</v>
      </c>
      <c r="I286" t="s">
        <v>80</v>
      </c>
      <c r="J286">
        <v>42</v>
      </c>
      <c r="K286" t="s">
        <v>65</v>
      </c>
      <c r="L286" t="s">
        <v>66</v>
      </c>
      <c r="M286" s="1">
        <v>45509</v>
      </c>
      <c r="N286" t="s">
        <v>33</v>
      </c>
      <c r="O286" t="s">
        <v>103</v>
      </c>
      <c r="P286" t="s">
        <v>94</v>
      </c>
      <c r="Q286" t="s">
        <v>46</v>
      </c>
      <c r="R286">
        <v>4398.43</v>
      </c>
      <c r="S286">
        <v>6683.28</v>
      </c>
      <c r="T286">
        <v>152</v>
      </c>
      <c r="U286">
        <v>19073.64</v>
      </c>
      <c r="V286">
        <v>1693.04</v>
      </c>
      <c r="W286">
        <v>17380.599999999999</v>
      </c>
      <c r="X286">
        <v>311.77999999999997</v>
      </c>
      <c r="Y286" t="s">
        <v>47</v>
      </c>
      <c r="Z286">
        <v>33416.400000000001</v>
      </c>
      <c r="AA286">
        <v>11424.249999999996</v>
      </c>
    </row>
    <row r="287" spans="1:27" x14ac:dyDescent="0.3">
      <c r="A287" t="s">
        <v>792</v>
      </c>
      <c r="B287" s="1">
        <v>45205</v>
      </c>
      <c r="C287" t="s">
        <v>544</v>
      </c>
      <c r="D287" t="s">
        <v>106</v>
      </c>
      <c r="E287">
        <v>2</v>
      </c>
      <c r="F287" t="s">
        <v>28</v>
      </c>
      <c r="G287">
        <v>0</v>
      </c>
      <c r="H287" t="s">
        <v>545</v>
      </c>
      <c r="I287" t="s">
        <v>30</v>
      </c>
      <c r="J287">
        <v>24</v>
      </c>
      <c r="K287" t="s">
        <v>60</v>
      </c>
      <c r="L287" t="s">
        <v>32</v>
      </c>
      <c r="M287" s="1">
        <v>44885</v>
      </c>
      <c r="N287" t="s">
        <v>33</v>
      </c>
      <c r="O287" t="s">
        <v>109</v>
      </c>
      <c r="P287" t="s">
        <v>110</v>
      </c>
      <c r="Q287" t="s">
        <v>111</v>
      </c>
      <c r="R287">
        <v>1622.17</v>
      </c>
      <c r="S287">
        <v>1993.72</v>
      </c>
      <c r="T287">
        <v>262</v>
      </c>
      <c r="U287">
        <v>2445.75</v>
      </c>
      <c r="V287">
        <v>362.22</v>
      </c>
      <c r="W287">
        <v>2083.5300000000002</v>
      </c>
      <c r="X287">
        <v>2261.4699999999998</v>
      </c>
      <c r="Y287" t="s">
        <v>37</v>
      </c>
      <c r="Z287">
        <v>3987.44</v>
      </c>
      <c r="AA287">
        <v>743.09999999999991</v>
      </c>
    </row>
    <row r="288" spans="1:27" x14ac:dyDescent="0.3">
      <c r="A288" t="s">
        <v>793</v>
      </c>
      <c r="B288" s="1">
        <v>45009</v>
      </c>
      <c r="C288" t="s">
        <v>718</v>
      </c>
      <c r="D288" t="s">
        <v>129</v>
      </c>
      <c r="E288">
        <v>3</v>
      </c>
      <c r="F288" t="s">
        <v>78</v>
      </c>
      <c r="G288">
        <v>11</v>
      </c>
      <c r="H288" t="s">
        <v>719</v>
      </c>
      <c r="I288" t="s">
        <v>30</v>
      </c>
      <c r="J288">
        <v>47</v>
      </c>
      <c r="K288" t="s">
        <v>155</v>
      </c>
      <c r="L288" t="s">
        <v>108</v>
      </c>
      <c r="M288" s="1">
        <v>44932</v>
      </c>
      <c r="N288" t="s">
        <v>33</v>
      </c>
      <c r="O288" t="s">
        <v>131</v>
      </c>
      <c r="P288" t="s">
        <v>68</v>
      </c>
      <c r="Q288" t="s">
        <v>111</v>
      </c>
      <c r="R288">
        <v>4948.75</v>
      </c>
      <c r="S288">
        <v>6628.41</v>
      </c>
      <c r="T288">
        <v>268</v>
      </c>
      <c r="U288">
        <v>766.83</v>
      </c>
      <c r="V288">
        <v>120.55</v>
      </c>
      <c r="W288">
        <v>646.28</v>
      </c>
      <c r="X288">
        <v>1670.62</v>
      </c>
      <c r="Y288" t="s">
        <v>47</v>
      </c>
      <c r="Z288">
        <v>19885.23</v>
      </c>
      <c r="AA288">
        <v>5038.9799999999996</v>
      </c>
    </row>
    <row r="289" spans="1:27" x14ac:dyDescent="0.3">
      <c r="A289" t="s">
        <v>794</v>
      </c>
      <c r="B289" s="1">
        <v>44963</v>
      </c>
      <c r="C289" t="s">
        <v>795</v>
      </c>
      <c r="D289" t="s">
        <v>177</v>
      </c>
      <c r="E289">
        <v>6</v>
      </c>
      <c r="F289" t="s">
        <v>28</v>
      </c>
      <c r="G289">
        <v>24</v>
      </c>
      <c r="H289" t="s">
        <v>796</v>
      </c>
      <c r="I289" t="s">
        <v>80</v>
      </c>
      <c r="J289">
        <v>22</v>
      </c>
      <c r="K289" t="s">
        <v>60</v>
      </c>
      <c r="L289" t="s">
        <v>81</v>
      </c>
      <c r="M289" s="1">
        <v>45106</v>
      </c>
      <c r="N289" t="s">
        <v>54</v>
      </c>
      <c r="O289" t="s">
        <v>179</v>
      </c>
      <c r="P289" t="s">
        <v>35</v>
      </c>
      <c r="Q289" t="s">
        <v>46</v>
      </c>
      <c r="R289">
        <v>926.86</v>
      </c>
      <c r="S289">
        <v>1109.73</v>
      </c>
      <c r="T289">
        <v>287</v>
      </c>
      <c r="U289">
        <v>13005.74</v>
      </c>
      <c r="V289">
        <v>2753.17</v>
      </c>
      <c r="W289">
        <v>10252.57</v>
      </c>
      <c r="X289">
        <v>2108.39</v>
      </c>
      <c r="Y289" t="s">
        <v>47</v>
      </c>
      <c r="Z289">
        <v>6658.38</v>
      </c>
      <c r="AA289">
        <v>1097.22</v>
      </c>
    </row>
    <row r="290" spans="1:27" x14ac:dyDescent="0.3">
      <c r="A290" t="s">
        <v>797</v>
      </c>
      <c r="B290" s="1">
        <v>45071</v>
      </c>
      <c r="C290" t="s">
        <v>338</v>
      </c>
      <c r="D290" t="s">
        <v>287</v>
      </c>
      <c r="E290">
        <v>4</v>
      </c>
      <c r="F290" t="s">
        <v>90</v>
      </c>
      <c r="G290">
        <v>9</v>
      </c>
      <c r="H290" t="s">
        <v>339</v>
      </c>
      <c r="I290" t="s">
        <v>80</v>
      </c>
      <c r="J290">
        <v>23</v>
      </c>
      <c r="K290" t="s">
        <v>60</v>
      </c>
      <c r="L290" t="s">
        <v>43</v>
      </c>
      <c r="M290" s="1">
        <v>45385</v>
      </c>
      <c r="N290" t="s">
        <v>44</v>
      </c>
      <c r="O290" t="s">
        <v>288</v>
      </c>
      <c r="P290" t="s">
        <v>68</v>
      </c>
      <c r="Q290" t="s">
        <v>46</v>
      </c>
      <c r="R290">
        <v>2345.7800000000002</v>
      </c>
      <c r="S290">
        <v>2891.96</v>
      </c>
      <c r="T290">
        <v>122</v>
      </c>
      <c r="U290">
        <v>19671.419999999998</v>
      </c>
      <c r="V290">
        <v>2348.5100000000002</v>
      </c>
      <c r="W290">
        <v>17322.91</v>
      </c>
      <c r="X290">
        <v>209.81</v>
      </c>
      <c r="Y290" t="s">
        <v>56</v>
      </c>
      <c r="Z290">
        <v>11567.84</v>
      </c>
      <c r="AA290">
        <v>2184.7199999999993</v>
      </c>
    </row>
    <row r="291" spans="1:27" x14ac:dyDescent="0.3">
      <c r="A291" t="s">
        <v>798</v>
      </c>
      <c r="B291" s="1">
        <v>45208</v>
      </c>
      <c r="C291" t="s">
        <v>353</v>
      </c>
      <c r="D291" t="s">
        <v>399</v>
      </c>
      <c r="E291">
        <v>2</v>
      </c>
      <c r="F291" t="s">
        <v>90</v>
      </c>
      <c r="G291">
        <v>3</v>
      </c>
      <c r="H291" t="s">
        <v>355</v>
      </c>
      <c r="I291" t="s">
        <v>80</v>
      </c>
      <c r="J291">
        <v>28</v>
      </c>
      <c r="K291" t="s">
        <v>42</v>
      </c>
      <c r="L291" t="s">
        <v>43</v>
      </c>
      <c r="M291" s="1">
        <v>44997</v>
      </c>
      <c r="N291" t="s">
        <v>33</v>
      </c>
      <c r="O291" t="s">
        <v>400</v>
      </c>
      <c r="P291" t="s">
        <v>94</v>
      </c>
      <c r="Q291" t="s">
        <v>46</v>
      </c>
      <c r="R291">
        <v>828.79</v>
      </c>
      <c r="S291">
        <v>1227.1300000000001</v>
      </c>
      <c r="T291">
        <v>228</v>
      </c>
      <c r="U291">
        <v>16125.78</v>
      </c>
      <c r="V291">
        <v>2224.48</v>
      </c>
      <c r="W291">
        <v>13901.3</v>
      </c>
      <c r="X291">
        <v>3379.69</v>
      </c>
      <c r="Y291" t="s">
        <v>37</v>
      </c>
      <c r="Z291">
        <v>2454.2600000000002</v>
      </c>
      <c r="AA291">
        <v>796.68000000000029</v>
      </c>
    </row>
    <row r="292" spans="1:27" x14ac:dyDescent="0.3">
      <c r="A292" t="s">
        <v>799</v>
      </c>
      <c r="B292" s="1">
        <v>44977</v>
      </c>
      <c r="C292" t="s">
        <v>509</v>
      </c>
      <c r="D292" t="s">
        <v>329</v>
      </c>
      <c r="E292">
        <v>6</v>
      </c>
      <c r="F292" t="s">
        <v>78</v>
      </c>
      <c r="G292">
        <v>21</v>
      </c>
      <c r="H292" t="s">
        <v>511</v>
      </c>
      <c r="I292" t="s">
        <v>80</v>
      </c>
      <c r="J292">
        <v>46</v>
      </c>
      <c r="K292" t="s">
        <v>60</v>
      </c>
      <c r="L292" t="s">
        <v>43</v>
      </c>
      <c r="M292" s="1">
        <v>44961</v>
      </c>
      <c r="N292" t="s">
        <v>54</v>
      </c>
      <c r="O292" t="s">
        <v>330</v>
      </c>
      <c r="P292" t="s">
        <v>94</v>
      </c>
      <c r="Q292" t="s">
        <v>46</v>
      </c>
      <c r="R292">
        <v>3358.26</v>
      </c>
      <c r="S292">
        <v>4345.1099999999997</v>
      </c>
      <c r="T292">
        <v>179</v>
      </c>
      <c r="U292">
        <v>5116.07</v>
      </c>
      <c r="V292">
        <v>431.84</v>
      </c>
      <c r="W292">
        <v>4684.2299999999996</v>
      </c>
      <c r="X292">
        <v>2246.4699999999998</v>
      </c>
      <c r="Y292" t="s">
        <v>83</v>
      </c>
      <c r="Z292">
        <v>26070.659999999996</v>
      </c>
      <c r="AA292">
        <v>5921.0999999999967</v>
      </c>
    </row>
    <row r="293" spans="1:27" x14ac:dyDescent="0.3">
      <c r="A293" t="s">
        <v>800</v>
      </c>
      <c r="B293" s="1">
        <v>45064</v>
      </c>
      <c r="C293" t="s">
        <v>76</v>
      </c>
      <c r="D293" t="s">
        <v>230</v>
      </c>
      <c r="E293">
        <v>1</v>
      </c>
      <c r="F293" t="s">
        <v>28</v>
      </c>
      <c r="G293">
        <v>7</v>
      </c>
      <c r="H293" t="s">
        <v>79</v>
      </c>
      <c r="I293" t="s">
        <v>80</v>
      </c>
      <c r="J293">
        <v>31</v>
      </c>
      <c r="K293" t="s">
        <v>42</v>
      </c>
      <c r="L293" t="s">
        <v>81</v>
      </c>
      <c r="M293" s="1">
        <v>44760</v>
      </c>
      <c r="N293" t="s">
        <v>33</v>
      </c>
      <c r="O293" t="s">
        <v>232</v>
      </c>
      <c r="P293" t="s">
        <v>110</v>
      </c>
      <c r="Q293" t="s">
        <v>46</v>
      </c>
      <c r="R293">
        <v>4570.75</v>
      </c>
      <c r="S293">
        <v>5891.26</v>
      </c>
      <c r="T293">
        <v>285</v>
      </c>
      <c r="U293">
        <v>1907.33</v>
      </c>
      <c r="V293">
        <v>411.18</v>
      </c>
      <c r="W293">
        <v>1496.15</v>
      </c>
      <c r="X293">
        <v>1927.59</v>
      </c>
      <c r="Y293" t="s">
        <v>83</v>
      </c>
      <c r="Z293">
        <v>5891.26</v>
      </c>
      <c r="AA293">
        <v>1320.5100000000002</v>
      </c>
    </row>
    <row r="294" spans="1:27" x14ac:dyDescent="0.3">
      <c r="A294" t="s">
        <v>801</v>
      </c>
      <c r="B294" s="1">
        <v>44957</v>
      </c>
      <c r="C294" t="s">
        <v>133</v>
      </c>
      <c r="D294" t="s">
        <v>246</v>
      </c>
      <c r="E294">
        <v>3</v>
      </c>
      <c r="F294" t="s">
        <v>78</v>
      </c>
      <c r="G294">
        <v>1</v>
      </c>
      <c r="H294" t="s">
        <v>135</v>
      </c>
      <c r="I294" t="s">
        <v>30</v>
      </c>
      <c r="J294">
        <v>50</v>
      </c>
      <c r="K294" t="s">
        <v>42</v>
      </c>
      <c r="L294" t="s">
        <v>43</v>
      </c>
      <c r="M294" s="1">
        <v>44967</v>
      </c>
      <c r="N294" t="s">
        <v>33</v>
      </c>
      <c r="O294" t="s">
        <v>247</v>
      </c>
      <c r="P294" t="s">
        <v>110</v>
      </c>
      <c r="Q294" t="s">
        <v>120</v>
      </c>
      <c r="R294">
        <v>4133.24</v>
      </c>
      <c r="S294">
        <v>6302.13</v>
      </c>
      <c r="T294">
        <v>299</v>
      </c>
      <c r="U294">
        <v>19434.05</v>
      </c>
      <c r="V294">
        <v>829.15</v>
      </c>
      <c r="W294">
        <v>18604.900000000001</v>
      </c>
      <c r="X294">
        <v>645.35</v>
      </c>
      <c r="Y294" t="s">
        <v>47</v>
      </c>
      <c r="Z294">
        <v>18906.39</v>
      </c>
      <c r="AA294">
        <v>6506.670000000001</v>
      </c>
    </row>
    <row r="295" spans="1:27" x14ac:dyDescent="0.3">
      <c r="A295" t="s">
        <v>802</v>
      </c>
      <c r="B295" s="1">
        <v>44935</v>
      </c>
      <c r="C295" t="s">
        <v>444</v>
      </c>
      <c r="D295" t="s">
        <v>246</v>
      </c>
      <c r="E295">
        <v>1</v>
      </c>
      <c r="F295" t="s">
        <v>78</v>
      </c>
      <c r="G295">
        <v>19</v>
      </c>
      <c r="H295" t="s">
        <v>445</v>
      </c>
      <c r="I295" t="s">
        <v>80</v>
      </c>
      <c r="J295">
        <v>37</v>
      </c>
      <c r="K295" t="s">
        <v>42</v>
      </c>
      <c r="L295" t="s">
        <v>66</v>
      </c>
      <c r="M295" s="1">
        <v>44919</v>
      </c>
      <c r="N295" t="s">
        <v>54</v>
      </c>
      <c r="O295" t="s">
        <v>247</v>
      </c>
      <c r="P295" t="s">
        <v>110</v>
      </c>
      <c r="Q295" t="s">
        <v>120</v>
      </c>
      <c r="R295">
        <v>4133.24</v>
      </c>
      <c r="S295">
        <v>6302.13</v>
      </c>
      <c r="T295">
        <v>299</v>
      </c>
      <c r="U295">
        <v>8825.5</v>
      </c>
      <c r="V295">
        <v>1703.87</v>
      </c>
      <c r="W295">
        <v>7121.63</v>
      </c>
      <c r="X295">
        <v>4214.92</v>
      </c>
      <c r="Y295" t="s">
        <v>56</v>
      </c>
      <c r="Z295">
        <v>6302.13</v>
      </c>
      <c r="AA295">
        <v>2168.8900000000003</v>
      </c>
    </row>
    <row r="296" spans="1:27" x14ac:dyDescent="0.3">
      <c r="A296" t="s">
        <v>803</v>
      </c>
      <c r="B296" s="1">
        <v>45279</v>
      </c>
      <c r="C296" t="s">
        <v>438</v>
      </c>
      <c r="D296" t="s">
        <v>471</v>
      </c>
      <c r="E296">
        <v>3</v>
      </c>
      <c r="F296" t="s">
        <v>90</v>
      </c>
      <c r="G296">
        <v>16</v>
      </c>
      <c r="H296" t="s">
        <v>439</v>
      </c>
      <c r="I296" t="s">
        <v>30</v>
      </c>
      <c r="J296">
        <v>57</v>
      </c>
      <c r="K296" t="s">
        <v>53</v>
      </c>
      <c r="L296" t="s">
        <v>43</v>
      </c>
      <c r="M296" s="1">
        <v>45545</v>
      </c>
      <c r="N296" t="s">
        <v>33</v>
      </c>
      <c r="O296" t="s">
        <v>473</v>
      </c>
      <c r="P296" t="s">
        <v>68</v>
      </c>
      <c r="Q296" t="s">
        <v>120</v>
      </c>
      <c r="R296">
        <v>1492.62</v>
      </c>
      <c r="S296">
        <v>2285.1999999999998</v>
      </c>
      <c r="T296">
        <v>106</v>
      </c>
      <c r="U296">
        <v>19181.62</v>
      </c>
      <c r="V296">
        <v>198.22</v>
      </c>
      <c r="W296">
        <v>18983.400000000001</v>
      </c>
      <c r="X296">
        <v>3115.44</v>
      </c>
      <c r="Y296" t="s">
        <v>37</v>
      </c>
      <c r="Z296">
        <v>6855.5999999999995</v>
      </c>
      <c r="AA296">
        <v>2377.7399999999998</v>
      </c>
    </row>
    <row r="297" spans="1:27" x14ac:dyDescent="0.3">
      <c r="A297" t="s">
        <v>804</v>
      </c>
      <c r="B297" s="1">
        <v>45059</v>
      </c>
      <c r="C297" t="s">
        <v>501</v>
      </c>
      <c r="D297" t="s">
        <v>146</v>
      </c>
      <c r="E297">
        <v>5</v>
      </c>
      <c r="F297" t="s">
        <v>51</v>
      </c>
      <c r="G297">
        <v>0</v>
      </c>
      <c r="H297" t="s">
        <v>502</v>
      </c>
      <c r="I297" t="s">
        <v>80</v>
      </c>
      <c r="J297">
        <v>34</v>
      </c>
      <c r="K297" t="s">
        <v>92</v>
      </c>
      <c r="L297" t="s">
        <v>43</v>
      </c>
      <c r="M297" s="1">
        <v>45698</v>
      </c>
      <c r="N297" t="s">
        <v>44</v>
      </c>
      <c r="O297" t="s">
        <v>147</v>
      </c>
      <c r="P297" t="s">
        <v>94</v>
      </c>
      <c r="Q297" t="s">
        <v>111</v>
      </c>
      <c r="R297">
        <v>662.05</v>
      </c>
      <c r="S297">
        <v>1019.21</v>
      </c>
      <c r="T297">
        <v>49</v>
      </c>
      <c r="U297">
        <v>16243.6</v>
      </c>
      <c r="V297">
        <v>1703.98</v>
      </c>
      <c r="W297">
        <v>14539.62</v>
      </c>
      <c r="X297">
        <v>2943.63</v>
      </c>
      <c r="Y297" t="s">
        <v>56</v>
      </c>
      <c r="Z297">
        <v>5096.05</v>
      </c>
      <c r="AA297">
        <v>1785.8000000000004</v>
      </c>
    </row>
    <row r="298" spans="1:27" x14ac:dyDescent="0.3">
      <c r="A298" t="s">
        <v>805</v>
      </c>
      <c r="B298" s="1">
        <v>45099</v>
      </c>
      <c r="C298" t="s">
        <v>806</v>
      </c>
      <c r="D298" t="s">
        <v>230</v>
      </c>
      <c r="E298">
        <v>1</v>
      </c>
      <c r="F298" t="s">
        <v>90</v>
      </c>
      <c r="G298">
        <v>7</v>
      </c>
      <c r="H298" t="s">
        <v>807</v>
      </c>
      <c r="I298" t="s">
        <v>30</v>
      </c>
      <c r="J298">
        <v>37</v>
      </c>
      <c r="K298" t="s">
        <v>53</v>
      </c>
      <c r="L298" t="s">
        <v>43</v>
      </c>
      <c r="M298" s="1">
        <v>45212</v>
      </c>
      <c r="N298" t="s">
        <v>33</v>
      </c>
      <c r="O298" t="s">
        <v>232</v>
      </c>
      <c r="P298" t="s">
        <v>110</v>
      </c>
      <c r="Q298" t="s">
        <v>46</v>
      </c>
      <c r="R298">
        <v>4570.75</v>
      </c>
      <c r="S298">
        <v>5891.26</v>
      </c>
      <c r="T298">
        <v>285</v>
      </c>
      <c r="U298">
        <v>14025.68</v>
      </c>
      <c r="V298">
        <v>1690.25</v>
      </c>
      <c r="W298">
        <v>12335.43</v>
      </c>
      <c r="X298">
        <v>3643.37</v>
      </c>
      <c r="Y298" t="s">
        <v>47</v>
      </c>
      <c r="Z298">
        <v>5891.26</v>
      </c>
      <c r="AA298">
        <v>1320.5100000000002</v>
      </c>
    </row>
    <row r="299" spans="1:27" x14ac:dyDescent="0.3">
      <c r="A299" t="s">
        <v>808</v>
      </c>
      <c r="B299" s="1">
        <v>45115</v>
      </c>
      <c r="C299" t="s">
        <v>736</v>
      </c>
      <c r="D299" t="s">
        <v>255</v>
      </c>
      <c r="E299">
        <v>3</v>
      </c>
      <c r="F299" t="s">
        <v>78</v>
      </c>
      <c r="G299">
        <v>9</v>
      </c>
      <c r="H299" t="s">
        <v>737</v>
      </c>
      <c r="I299" t="s">
        <v>30</v>
      </c>
      <c r="J299">
        <v>37</v>
      </c>
      <c r="K299" t="s">
        <v>65</v>
      </c>
      <c r="L299" t="s">
        <v>43</v>
      </c>
      <c r="M299" s="1">
        <v>45600</v>
      </c>
      <c r="N299" t="s">
        <v>54</v>
      </c>
      <c r="O299" t="s">
        <v>256</v>
      </c>
      <c r="P299" t="s">
        <v>110</v>
      </c>
      <c r="Q299" t="s">
        <v>36</v>
      </c>
      <c r="R299">
        <v>1637.53</v>
      </c>
      <c r="S299">
        <v>1892.5</v>
      </c>
      <c r="T299">
        <v>169</v>
      </c>
      <c r="U299">
        <v>4206.5600000000004</v>
      </c>
      <c r="V299">
        <v>872.49</v>
      </c>
      <c r="W299">
        <v>3334.07</v>
      </c>
      <c r="X299">
        <v>3221.69</v>
      </c>
      <c r="Y299" t="s">
        <v>47</v>
      </c>
      <c r="Z299">
        <v>5677.5</v>
      </c>
      <c r="AA299">
        <v>764.91000000000008</v>
      </c>
    </row>
    <row r="300" spans="1:27" x14ac:dyDescent="0.3">
      <c r="A300" t="s">
        <v>809</v>
      </c>
      <c r="B300" s="1">
        <v>45163</v>
      </c>
      <c r="C300" t="s">
        <v>768</v>
      </c>
      <c r="D300" t="s">
        <v>246</v>
      </c>
      <c r="E300">
        <v>5</v>
      </c>
      <c r="F300" t="s">
        <v>28</v>
      </c>
      <c r="G300">
        <v>25</v>
      </c>
      <c r="H300" t="s">
        <v>769</v>
      </c>
      <c r="I300" t="s">
        <v>30</v>
      </c>
      <c r="J300">
        <v>42</v>
      </c>
      <c r="K300" t="s">
        <v>92</v>
      </c>
      <c r="L300" t="s">
        <v>53</v>
      </c>
      <c r="M300" s="1">
        <v>44591</v>
      </c>
      <c r="N300" t="s">
        <v>44</v>
      </c>
      <c r="O300" t="s">
        <v>247</v>
      </c>
      <c r="P300" t="s">
        <v>110</v>
      </c>
      <c r="Q300" t="s">
        <v>120</v>
      </c>
      <c r="R300">
        <v>4133.24</v>
      </c>
      <c r="S300">
        <v>6302.13</v>
      </c>
      <c r="T300">
        <v>299</v>
      </c>
      <c r="U300">
        <v>14656.11</v>
      </c>
      <c r="V300">
        <v>3199.1</v>
      </c>
      <c r="W300">
        <v>11457.01</v>
      </c>
      <c r="X300">
        <v>197.69</v>
      </c>
      <c r="Y300" t="s">
        <v>56</v>
      </c>
      <c r="Z300">
        <v>31510.65</v>
      </c>
      <c r="AA300">
        <v>10844.45</v>
      </c>
    </row>
    <row r="301" spans="1:27" x14ac:dyDescent="0.3">
      <c r="A301" t="s">
        <v>810</v>
      </c>
      <c r="B301" s="1">
        <v>45281</v>
      </c>
      <c r="C301" t="s">
        <v>419</v>
      </c>
      <c r="D301" t="s">
        <v>177</v>
      </c>
      <c r="E301">
        <v>2</v>
      </c>
      <c r="F301" t="s">
        <v>28</v>
      </c>
      <c r="G301">
        <v>19</v>
      </c>
      <c r="H301" t="s">
        <v>421</v>
      </c>
      <c r="I301" t="s">
        <v>30</v>
      </c>
      <c r="J301">
        <v>23</v>
      </c>
      <c r="K301" t="s">
        <v>65</v>
      </c>
      <c r="L301" t="s">
        <v>43</v>
      </c>
      <c r="M301" s="1">
        <v>45113</v>
      </c>
      <c r="N301" t="s">
        <v>44</v>
      </c>
      <c r="O301" t="s">
        <v>179</v>
      </c>
      <c r="P301" t="s">
        <v>35</v>
      </c>
      <c r="Q301" t="s">
        <v>46</v>
      </c>
      <c r="R301">
        <v>926.86</v>
      </c>
      <c r="S301">
        <v>1109.73</v>
      </c>
      <c r="T301">
        <v>287</v>
      </c>
      <c r="U301">
        <v>3576.52</v>
      </c>
      <c r="V301">
        <v>891.6</v>
      </c>
      <c r="W301">
        <v>2684.92</v>
      </c>
      <c r="X301">
        <v>452.1</v>
      </c>
      <c r="Y301" t="s">
        <v>83</v>
      </c>
      <c r="Z301">
        <v>2219.46</v>
      </c>
      <c r="AA301">
        <v>365.74</v>
      </c>
    </row>
    <row r="302" spans="1:27" x14ac:dyDescent="0.3">
      <c r="A302" t="s">
        <v>811</v>
      </c>
      <c r="B302" s="1">
        <v>45138</v>
      </c>
      <c r="C302" t="s">
        <v>624</v>
      </c>
      <c r="D302" t="s">
        <v>202</v>
      </c>
      <c r="E302">
        <v>3</v>
      </c>
      <c r="F302" t="s">
        <v>78</v>
      </c>
      <c r="G302">
        <v>12</v>
      </c>
      <c r="H302" t="s">
        <v>625</v>
      </c>
      <c r="I302" t="s">
        <v>30</v>
      </c>
      <c r="J302">
        <v>39</v>
      </c>
      <c r="K302" t="s">
        <v>92</v>
      </c>
      <c r="L302" t="s">
        <v>32</v>
      </c>
      <c r="M302" s="1">
        <v>45728</v>
      </c>
      <c r="N302" t="s">
        <v>44</v>
      </c>
      <c r="O302" t="s">
        <v>204</v>
      </c>
      <c r="P302" t="s">
        <v>110</v>
      </c>
      <c r="Q302" t="s">
        <v>111</v>
      </c>
      <c r="R302">
        <v>830.87</v>
      </c>
      <c r="S302">
        <v>1283.0999999999999</v>
      </c>
      <c r="T302">
        <v>46</v>
      </c>
      <c r="U302">
        <v>9976.9599999999991</v>
      </c>
      <c r="V302">
        <v>293.33</v>
      </c>
      <c r="W302">
        <v>9683.6299999999992</v>
      </c>
      <c r="X302">
        <v>4189.12</v>
      </c>
      <c r="Y302" t="s">
        <v>83</v>
      </c>
      <c r="Z302">
        <v>3849.2999999999997</v>
      </c>
      <c r="AA302">
        <v>1356.6899999999996</v>
      </c>
    </row>
    <row r="303" spans="1:27" x14ac:dyDescent="0.3">
      <c r="A303" t="s">
        <v>812</v>
      </c>
      <c r="B303" s="1">
        <v>44939</v>
      </c>
      <c r="C303" t="s">
        <v>438</v>
      </c>
      <c r="D303" t="s">
        <v>246</v>
      </c>
      <c r="E303">
        <v>5</v>
      </c>
      <c r="F303" t="s">
        <v>90</v>
      </c>
      <c r="G303">
        <v>2</v>
      </c>
      <c r="H303" t="s">
        <v>439</v>
      </c>
      <c r="I303" t="s">
        <v>30</v>
      </c>
      <c r="J303">
        <v>57</v>
      </c>
      <c r="K303" t="s">
        <v>53</v>
      </c>
      <c r="L303" t="s">
        <v>43</v>
      </c>
      <c r="M303" s="1">
        <v>45545</v>
      </c>
      <c r="N303" t="s">
        <v>33</v>
      </c>
      <c r="O303" t="s">
        <v>247</v>
      </c>
      <c r="P303" t="s">
        <v>110</v>
      </c>
      <c r="Q303" t="s">
        <v>120</v>
      </c>
      <c r="R303">
        <v>4133.24</v>
      </c>
      <c r="S303">
        <v>6302.13</v>
      </c>
      <c r="T303">
        <v>299</v>
      </c>
      <c r="U303">
        <v>15309.6</v>
      </c>
      <c r="V303">
        <v>1848.93</v>
      </c>
      <c r="W303">
        <v>13460.67</v>
      </c>
      <c r="X303">
        <v>3224.89</v>
      </c>
      <c r="Y303" t="s">
        <v>83</v>
      </c>
      <c r="Z303">
        <v>31510.65</v>
      </c>
      <c r="AA303">
        <v>10844.45</v>
      </c>
    </row>
    <row r="304" spans="1:27" x14ac:dyDescent="0.3">
      <c r="A304" t="s">
        <v>813</v>
      </c>
      <c r="B304" s="1">
        <v>45205</v>
      </c>
      <c r="C304" t="s">
        <v>814</v>
      </c>
      <c r="D304" t="s">
        <v>287</v>
      </c>
      <c r="E304">
        <v>1</v>
      </c>
      <c r="F304" t="s">
        <v>78</v>
      </c>
      <c r="G304">
        <v>1</v>
      </c>
      <c r="H304" t="s">
        <v>815</v>
      </c>
      <c r="I304" t="s">
        <v>80</v>
      </c>
      <c r="J304">
        <v>34</v>
      </c>
      <c r="K304" t="s">
        <v>155</v>
      </c>
      <c r="L304" t="s">
        <v>108</v>
      </c>
      <c r="M304" s="1">
        <v>45459</v>
      </c>
      <c r="N304" t="s">
        <v>54</v>
      </c>
      <c r="O304" t="s">
        <v>288</v>
      </c>
      <c r="P304" t="s">
        <v>68</v>
      </c>
      <c r="Q304" t="s">
        <v>46</v>
      </c>
      <c r="R304">
        <v>2345.7800000000002</v>
      </c>
      <c r="S304">
        <v>2891.96</v>
      </c>
      <c r="T304">
        <v>122</v>
      </c>
      <c r="U304">
        <v>17012.509999999998</v>
      </c>
      <c r="V304">
        <v>1636.62</v>
      </c>
      <c r="W304">
        <v>15375.89</v>
      </c>
      <c r="X304">
        <v>144.72999999999999</v>
      </c>
      <c r="Y304" t="s">
        <v>56</v>
      </c>
      <c r="Z304">
        <v>2891.96</v>
      </c>
      <c r="AA304">
        <v>546.17999999999984</v>
      </c>
    </row>
    <row r="305" spans="1:27" x14ac:dyDescent="0.3">
      <c r="A305" t="s">
        <v>816</v>
      </c>
      <c r="B305" s="1">
        <v>44994</v>
      </c>
      <c r="C305" t="s">
        <v>746</v>
      </c>
      <c r="D305" t="s">
        <v>146</v>
      </c>
      <c r="E305">
        <v>2</v>
      </c>
      <c r="F305" t="s">
        <v>28</v>
      </c>
      <c r="G305">
        <v>6</v>
      </c>
      <c r="H305" t="s">
        <v>747</v>
      </c>
      <c r="I305" t="s">
        <v>80</v>
      </c>
      <c r="J305">
        <v>46</v>
      </c>
      <c r="K305" t="s">
        <v>42</v>
      </c>
      <c r="L305" t="s">
        <v>66</v>
      </c>
      <c r="M305" s="1">
        <v>44678</v>
      </c>
      <c r="N305" t="s">
        <v>33</v>
      </c>
      <c r="O305" t="s">
        <v>147</v>
      </c>
      <c r="P305" t="s">
        <v>94</v>
      </c>
      <c r="Q305" t="s">
        <v>111</v>
      </c>
      <c r="R305">
        <v>662.05</v>
      </c>
      <c r="S305">
        <v>1019.21</v>
      </c>
      <c r="T305">
        <v>49</v>
      </c>
      <c r="U305">
        <v>15985.31</v>
      </c>
      <c r="V305">
        <v>2252.38</v>
      </c>
      <c r="W305">
        <v>13732.93</v>
      </c>
      <c r="X305">
        <v>345.74</v>
      </c>
      <c r="Y305" t="s">
        <v>56</v>
      </c>
      <c r="Z305">
        <v>2038.42</v>
      </c>
      <c r="AA305">
        <v>714.32000000000016</v>
      </c>
    </row>
    <row r="306" spans="1:27" x14ac:dyDescent="0.3">
      <c r="A306" t="s">
        <v>817</v>
      </c>
      <c r="B306" s="1">
        <v>44979</v>
      </c>
      <c r="C306" t="s">
        <v>759</v>
      </c>
      <c r="D306" t="s">
        <v>510</v>
      </c>
      <c r="E306">
        <v>3</v>
      </c>
      <c r="F306" t="s">
        <v>78</v>
      </c>
      <c r="G306">
        <v>18</v>
      </c>
      <c r="H306" t="s">
        <v>760</v>
      </c>
      <c r="I306" t="s">
        <v>80</v>
      </c>
      <c r="J306">
        <v>41</v>
      </c>
      <c r="K306" t="s">
        <v>155</v>
      </c>
      <c r="L306" t="s">
        <v>53</v>
      </c>
      <c r="M306" s="1">
        <v>44752</v>
      </c>
      <c r="N306" t="s">
        <v>54</v>
      </c>
      <c r="O306" t="s">
        <v>512</v>
      </c>
      <c r="P306" t="s">
        <v>110</v>
      </c>
      <c r="Q306" t="s">
        <v>36</v>
      </c>
      <c r="R306">
        <v>952.01</v>
      </c>
      <c r="S306">
        <v>1107.5</v>
      </c>
      <c r="T306">
        <v>162</v>
      </c>
      <c r="U306">
        <v>1033.9000000000001</v>
      </c>
      <c r="V306">
        <v>124.89</v>
      </c>
      <c r="W306">
        <v>909.01</v>
      </c>
      <c r="X306">
        <v>3702.36</v>
      </c>
      <c r="Y306" t="s">
        <v>83</v>
      </c>
      <c r="Z306">
        <v>3322.5</v>
      </c>
      <c r="AA306">
        <v>466.47</v>
      </c>
    </row>
    <row r="307" spans="1:27" x14ac:dyDescent="0.3">
      <c r="A307" t="s">
        <v>818</v>
      </c>
      <c r="B307" s="1">
        <v>44984</v>
      </c>
      <c r="C307" t="s">
        <v>362</v>
      </c>
      <c r="D307" t="s">
        <v>272</v>
      </c>
      <c r="E307">
        <v>1</v>
      </c>
      <c r="F307" t="s">
        <v>51</v>
      </c>
      <c r="G307">
        <v>12</v>
      </c>
      <c r="H307" t="s">
        <v>363</v>
      </c>
      <c r="I307" t="s">
        <v>30</v>
      </c>
      <c r="J307">
        <v>37</v>
      </c>
      <c r="K307" t="s">
        <v>42</v>
      </c>
      <c r="L307" t="s">
        <v>81</v>
      </c>
      <c r="M307" s="1">
        <v>45596</v>
      </c>
      <c r="N307" t="s">
        <v>44</v>
      </c>
      <c r="O307" t="s">
        <v>273</v>
      </c>
      <c r="P307" t="s">
        <v>68</v>
      </c>
      <c r="Q307" t="s">
        <v>111</v>
      </c>
      <c r="R307">
        <v>1137.26</v>
      </c>
      <c r="S307">
        <v>1649.58</v>
      </c>
      <c r="T307">
        <v>243</v>
      </c>
      <c r="U307">
        <v>9766.2199999999993</v>
      </c>
      <c r="V307">
        <v>165.19</v>
      </c>
      <c r="W307">
        <v>9601.0300000000007</v>
      </c>
      <c r="X307">
        <v>1823.13</v>
      </c>
      <c r="Y307" t="s">
        <v>56</v>
      </c>
      <c r="Z307">
        <v>1649.58</v>
      </c>
      <c r="AA307">
        <v>512.31999999999994</v>
      </c>
    </row>
    <row r="308" spans="1:27" x14ac:dyDescent="0.3">
      <c r="A308" t="s">
        <v>819</v>
      </c>
      <c r="B308" s="1">
        <v>45258</v>
      </c>
      <c r="C308" t="s">
        <v>708</v>
      </c>
      <c r="D308" t="s">
        <v>527</v>
      </c>
      <c r="E308">
        <v>5</v>
      </c>
      <c r="F308" t="s">
        <v>78</v>
      </c>
      <c r="G308">
        <v>14</v>
      </c>
      <c r="H308" t="s">
        <v>709</v>
      </c>
      <c r="I308" t="s">
        <v>80</v>
      </c>
      <c r="J308">
        <v>45</v>
      </c>
      <c r="K308" t="s">
        <v>155</v>
      </c>
      <c r="L308" t="s">
        <v>53</v>
      </c>
      <c r="M308" s="1">
        <v>45424</v>
      </c>
      <c r="N308" t="s">
        <v>54</v>
      </c>
      <c r="O308" t="s">
        <v>528</v>
      </c>
      <c r="P308" t="s">
        <v>94</v>
      </c>
      <c r="Q308" t="s">
        <v>46</v>
      </c>
      <c r="R308">
        <v>2643.84</v>
      </c>
      <c r="S308">
        <v>3790.58</v>
      </c>
      <c r="T308">
        <v>63</v>
      </c>
      <c r="U308">
        <v>8851.43</v>
      </c>
      <c r="V308">
        <v>1940.08</v>
      </c>
      <c r="W308">
        <v>6911.35</v>
      </c>
      <c r="X308">
        <v>1770.28</v>
      </c>
      <c r="Y308" t="s">
        <v>56</v>
      </c>
      <c r="Z308">
        <v>18952.900000000001</v>
      </c>
      <c r="AA308">
        <v>5733.6999999999989</v>
      </c>
    </row>
    <row r="309" spans="1:27" x14ac:dyDescent="0.3">
      <c r="A309" t="s">
        <v>820</v>
      </c>
      <c r="B309" s="1">
        <v>45215</v>
      </c>
      <c r="C309" t="s">
        <v>821</v>
      </c>
      <c r="D309" t="s">
        <v>349</v>
      </c>
      <c r="E309">
        <v>6</v>
      </c>
      <c r="F309" t="s">
        <v>28</v>
      </c>
      <c r="G309">
        <v>5</v>
      </c>
      <c r="H309" t="s">
        <v>822</v>
      </c>
      <c r="I309" t="s">
        <v>30</v>
      </c>
      <c r="J309">
        <v>23</v>
      </c>
      <c r="K309" t="s">
        <v>53</v>
      </c>
      <c r="L309" t="s">
        <v>66</v>
      </c>
      <c r="M309" s="1">
        <v>44576</v>
      </c>
      <c r="N309" t="s">
        <v>54</v>
      </c>
      <c r="O309" t="s">
        <v>350</v>
      </c>
      <c r="P309" t="s">
        <v>35</v>
      </c>
      <c r="Q309" t="s">
        <v>120</v>
      </c>
      <c r="R309">
        <v>2100.67</v>
      </c>
      <c r="S309">
        <v>3046.71</v>
      </c>
      <c r="T309">
        <v>206</v>
      </c>
      <c r="U309">
        <v>19196.63</v>
      </c>
      <c r="V309">
        <v>212.02</v>
      </c>
      <c r="W309">
        <v>18984.61</v>
      </c>
      <c r="X309">
        <v>257.77</v>
      </c>
      <c r="Y309" t="s">
        <v>83</v>
      </c>
      <c r="Z309">
        <v>18280.260000000002</v>
      </c>
      <c r="AA309">
        <v>5676.24</v>
      </c>
    </row>
    <row r="310" spans="1:27" x14ac:dyDescent="0.3">
      <c r="A310" t="s">
        <v>823</v>
      </c>
      <c r="B310" s="1">
        <v>45026</v>
      </c>
      <c r="C310" t="s">
        <v>824</v>
      </c>
      <c r="D310" t="s">
        <v>134</v>
      </c>
      <c r="E310">
        <v>2</v>
      </c>
      <c r="F310" t="s">
        <v>28</v>
      </c>
      <c r="G310">
        <v>6</v>
      </c>
      <c r="H310" t="s">
        <v>825</v>
      </c>
      <c r="I310" t="s">
        <v>30</v>
      </c>
      <c r="J310">
        <v>34</v>
      </c>
      <c r="K310" t="s">
        <v>155</v>
      </c>
      <c r="L310" t="s">
        <v>53</v>
      </c>
      <c r="M310" s="1">
        <v>45361</v>
      </c>
      <c r="N310" t="s">
        <v>54</v>
      </c>
      <c r="O310" t="s">
        <v>136</v>
      </c>
      <c r="P310" t="s">
        <v>68</v>
      </c>
      <c r="Q310" t="s">
        <v>46</v>
      </c>
      <c r="R310">
        <v>3023.88</v>
      </c>
      <c r="S310">
        <v>3903.42</v>
      </c>
      <c r="T310">
        <v>217</v>
      </c>
      <c r="U310">
        <v>14643.25</v>
      </c>
      <c r="V310">
        <v>1289.19</v>
      </c>
      <c r="W310">
        <v>13354.06</v>
      </c>
      <c r="X310">
        <v>357.52</v>
      </c>
      <c r="Y310" t="s">
        <v>56</v>
      </c>
      <c r="Z310">
        <v>7806.84</v>
      </c>
      <c r="AA310">
        <v>1759.08</v>
      </c>
    </row>
    <row r="311" spans="1:27" x14ac:dyDescent="0.3">
      <c r="A311" t="s">
        <v>826</v>
      </c>
      <c r="B311" s="1">
        <v>45285</v>
      </c>
      <c r="C311" t="s">
        <v>444</v>
      </c>
      <c r="D311" t="s">
        <v>50</v>
      </c>
      <c r="E311">
        <v>5</v>
      </c>
      <c r="F311" t="s">
        <v>51</v>
      </c>
      <c r="G311">
        <v>19</v>
      </c>
      <c r="H311" t="s">
        <v>445</v>
      </c>
      <c r="I311" t="s">
        <v>80</v>
      </c>
      <c r="J311">
        <v>37</v>
      </c>
      <c r="K311" t="s">
        <v>42</v>
      </c>
      <c r="L311" t="s">
        <v>66</v>
      </c>
      <c r="M311" s="1">
        <v>44919</v>
      </c>
      <c r="N311" t="s">
        <v>54</v>
      </c>
      <c r="O311" t="s">
        <v>55</v>
      </c>
      <c r="P311" t="s">
        <v>35</v>
      </c>
      <c r="Q311" t="s">
        <v>46</v>
      </c>
      <c r="R311">
        <v>3612.18</v>
      </c>
      <c r="S311">
        <v>3996.91</v>
      </c>
      <c r="T311">
        <v>92</v>
      </c>
      <c r="U311">
        <v>4409.71</v>
      </c>
      <c r="V311">
        <v>959.41</v>
      </c>
      <c r="W311">
        <v>3450.3</v>
      </c>
      <c r="X311">
        <v>1796.92</v>
      </c>
      <c r="Y311" t="s">
        <v>47</v>
      </c>
      <c r="Z311">
        <v>19984.55</v>
      </c>
      <c r="AA311">
        <v>1923.65</v>
      </c>
    </row>
    <row r="312" spans="1:27" x14ac:dyDescent="0.3">
      <c r="A312" t="s">
        <v>827</v>
      </c>
      <c r="B312" s="1">
        <v>45230</v>
      </c>
      <c r="C312" t="s">
        <v>636</v>
      </c>
      <c r="D312" t="s">
        <v>399</v>
      </c>
      <c r="E312">
        <v>4</v>
      </c>
      <c r="F312" t="s">
        <v>90</v>
      </c>
      <c r="G312">
        <v>16</v>
      </c>
      <c r="H312" t="s">
        <v>637</v>
      </c>
      <c r="I312" t="s">
        <v>30</v>
      </c>
      <c r="J312">
        <v>46</v>
      </c>
      <c r="K312" t="s">
        <v>155</v>
      </c>
      <c r="L312" t="s">
        <v>53</v>
      </c>
      <c r="M312" s="1">
        <v>44749</v>
      </c>
      <c r="N312" t="s">
        <v>44</v>
      </c>
      <c r="O312" t="s">
        <v>400</v>
      </c>
      <c r="P312" t="s">
        <v>94</v>
      </c>
      <c r="Q312" t="s">
        <v>46</v>
      </c>
      <c r="R312">
        <v>828.79</v>
      </c>
      <c r="S312">
        <v>1227.1300000000001</v>
      </c>
      <c r="T312">
        <v>228</v>
      </c>
      <c r="U312">
        <v>1059.8599999999999</v>
      </c>
      <c r="V312">
        <v>180.26</v>
      </c>
      <c r="W312">
        <v>879.6</v>
      </c>
      <c r="X312">
        <v>3277.89</v>
      </c>
      <c r="Y312" t="s">
        <v>47</v>
      </c>
      <c r="Z312">
        <v>4908.5200000000004</v>
      </c>
      <c r="AA312">
        <v>1593.3600000000006</v>
      </c>
    </row>
    <row r="313" spans="1:27" x14ac:dyDescent="0.3">
      <c r="A313" t="s">
        <v>828</v>
      </c>
      <c r="B313" s="1">
        <v>45093</v>
      </c>
      <c r="C313" t="s">
        <v>829</v>
      </c>
      <c r="D313" t="s">
        <v>89</v>
      </c>
      <c r="E313">
        <v>3</v>
      </c>
      <c r="F313" t="s">
        <v>51</v>
      </c>
      <c r="G313">
        <v>23</v>
      </c>
      <c r="H313" t="s">
        <v>830</v>
      </c>
      <c r="I313" t="s">
        <v>80</v>
      </c>
      <c r="J313">
        <v>45</v>
      </c>
      <c r="K313" t="s">
        <v>65</v>
      </c>
      <c r="L313" t="s">
        <v>53</v>
      </c>
      <c r="M313" s="1">
        <v>45234</v>
      </c>
      <c r="N313" t="s">
        <v>44</v>
      </c>
      <c r="O313" t="s">
        <v>93</v>
      </c>
      <c r="P313" t="s">
        <v>94</v>
      </c>
      <c r="Q313" t="s">
        <v>46</v>
      </c>
      <c r="R313">
        <v>1290.44</v>
      </c>
      <c r="S313">
        <v>1756.94</v>
      </c>
      <c r="T313">
        <v>226</v>
      </c>
      <c r="U313">
        <v>10345.219999999999</v>
      </c>
      <c r="V313">
        <v>2520.59</v>
      </c>
      <c r="W313">
        <v>7824.63</v>
      </c>
      <c r="X313">
        <v>374.74</v>
      </c>
      <c r="Y313" t="s">
        <v>83</v>
      </c>
      <c r="Z313">
        <v>5270.82</v>
      </c>
      <c r="AA313">
        <v>1399.5</v>
      </c>
    </row>
    <row r="314" spans="1:27" x14ac:dyDescent="0.3">
      <c r="A314" t="s">
        <v>831</v>
      </c>
      <c r="B314" s="1">
        <v>45238</v>
      </c>
      <c r="C314" t="s">
        <v>539</v>
      </c>
      <c r="D314" t="s">
        <v>230</v>
      </c>
      <c r="E314">
        <v>4</v>
      </c>
      <c r="F314" t="s">
        <v>51</v>
      </c>
      <c r="G314">
        <v>25</v>
      </c>
      <c r="H314" t="s">
        <v>540</v>
      </c>
      <c r="I314" t="s">
        <v>80</v>
      </c>
      <c r="J314">
        <v>46</v>
      </c>
      <c r="K314" t="s">
        <v>92</v>
      </c>
      <c r="L314" t="s">
        <v>43</v>
      </c>
      <c r="M314" s="1">
        <v>45081</v>
      </c>
      <c r="N314" t="s">
        <v>54</v>
      </c>
      <c r="O314" t="s">
        <v>232</v>
      </c>
      <c r="P314" t="s">
        <v>110</v>
      </c>
      <c r="Q314" t="s">
        <v>46</v>
      </c>
      <c r="R314">
        <v>4570.75</v>
      </c>
      <c r="S314">
        <v>5891.26</v>
      </c>
      <c r="T314">
        <v>285</v>
      </c>
      <c r="U314">
        <v>4380.0600000000004</v>
      </c>
      <c r="V314">
        <v>1055.8499999999999</v>
      </c>
      <c r="W314">
        <v>3324.21</v>
      </c>
      <c r="X314">
        <v>2293.88</v>
      </c>
      <c r="Y314" t="s">
        <v>37</v>
      </c>
      <c r="Z314">
        <v>23565.040000000001</v>
      </c>
      <c r="AA314">
        <v>5282.0400000000009</v>
      </c>
    </row>
    <row r="315" spans="1:27" x14ac:dyDescent="0.3">
      <c r="A315" t="s">
        <v>832</v>
      </c>
      <c r="B315" s="1">
        <v>44971</v>
      </c>
      <c r="C315" t="s">
        <v>97</v>
      </c>
      <c r="D315" t="s">
        <v>223</v>
      </c>
      <c r="E315">
        <v>4</v>
      </c>
      <c r="F315" t="s">
        <v>51</v>
      </c>
      <c r="G315">
        <v>22</v>
      </c>
      <c r="H315" t="s">
        <v>99</v>
      </c>
      <c r="I315" t="s">
        <v>80</v>
      </c>
      <c r="J315">
        <v>27</v>
      </c>
      <c r="K315" t="s">
        <v>31</v>
      </c>
      <c r="L315" t="s">
        <v>32</v>
      </c>
      <c r="M315" s="1">
        <v>44637</v>
      </c>
      <c r="N315" t="s">
        <v>33</v>
      </c>
      <c r="O315" t="s">
        <v>224</v>
      </c>
      <c r="P315" t="s">
        <v>35</v>
      </c>
      <c r="Q315" t="s">
        <v>111</v>
      </c>
      <c r="R315">
        <v>3470.49</v>
      </c>
      <c r="S315">
        <v>5407.89</v>
      </c>
      <c r="T315">
        <v>141</v>
      </c>
      <c r="U315">
        <v>11167.89</v>
      </c>
      <c r="V315">
        <v>120.86</v>
      </c>
      <c r="W315">
        <v>11047.03</v>
      </c>
      <c r="X315">
        <v>3121.19</v>
      </c>
      <c r="Y315" t="s">
        <v>83</v>
      </c>
      <c r="Z315">
        <v>21631.56</v>
      </c>
      <c r="AA315">
        <v>7749.6000000000022</v>
      </c>
    </row>
    <row r="316" spans="1:27" x14ac:dyDescent="0.3">
      <c r="A316" t="s">
        <v>833</v>
      </c>
      <c r="B316" s="1">
        <v>45076</v>
      </c>
      <c r="C316" t="s">
        <v>834</v>
      </c>
      <c r="D316" t="s">
        <v>50</v>
      </c>
      <c r="E316">
        <v>3</v>
      </c>
      <c r="F316" t="s">
        <v>78</v>
      </c>
      <c r="G316">
        <v>2</v>
      </c>
      <c r="H316" t="s">
        <v>835</v>
      </c>
      <c r="I316" t="s">
        <v>80</v>
      </c>
      <c r="J316">
        <v>45</v>
      </c>
      <c r="K316" t="s">
        <v>42</v>
      </c>
      <c r="L316" t="s">
        <v>32</v>
      </c>
      <c r="M316" s="1">
        <v>44766</v>
      </c>
      <c r="N316" t="s">
        <v>44</v>
      </c>
      <c r="O316" t="s">
        <v>55</v>
      </c>
      <c r="P316" t="s">
        <v>35</v>
      </c>
      <c r="Q316" t="s">
        <v>46</v>
      </c>
      <c r="R316">
        <v>3612.18</v>
      </c>
      <c r="S316">
        <v>3996.91</v>
      </c>
      <c r="T316">
        <v>92</v>
      </c>
      <c r="U316">
        <v>7618.61</v>
      </c>
      <c r="V316">
        <v>1022.62</v>
      </c>
      <c r="W316">
        <v>6595.99</v>
      </c>
      <c r="X316">
        <v>3021.33</v>
      </c>
      <c r="Y316" t="s">
        <v>37</v>
      </c>
      <c r="Z316">
        <v>11990.73</v>
      </c>
      <c r="AA316">
        <v>1154.19</v>
      </c>
    </row>
    <row r="317" spans="1:27" x14ac:dyDescent="0.3">
      <c r="A317" t="s">
        <v>836</v>
      </c>
      <c r="B317" s="1">
        <v>45098</v>
      </c>
      <c r="C317" t="s">
        <v>617</v>
      </c>
      <c r="D317" t="s">
        <v>448</v>
      </c>
      <c r="E317">
        <v>6</v>
      </c>
      <c r="F317" t="s">
        <v>51</v>
      </c>
      <c r="G317">
        <v>18</v>
      </c>
      <c r="H317" t="s">
        <v>618</v>
      </c>
      <c r="I317" t="s">
        <v>30</v>
      </c>
      <c r="J317">
        <v>56</v>
      </c>
      <c r="K317" t="s">
        <v>31</v>
      </c>
      <c r="L317" t="s">
        <v>81</v>
      </c>
      <c r="M317" s="1">
        <v>44749</v>
      </c>
      <c r="N317" t="s">
        <v>44</v>
      </c>
      <c r="O317" t="s">
        <v>449</v>
      </c>
      <c r="P317" t="s">
        <v>110</v>
      </c>
      <c r="Q317" t="s">
        <v>120</v>
      </c>
      <c r="R317">
        <v>4836.3999999999996</v>
      </c>
      <c r="S317">
        <v>7004.05</v>
      </c>
      <c r="T317">
        <v>98</v>
      </c>
      <c r="U317">
        <v>12876.97</v>
      </c>
      <c r="V317">
        <v>1924.74</v>
      </c>
      <c r="W317">
        <v>10952.23</v>
      </c>
      <c r="X317">
        <v>4352.68</v>
      </c>
      <c r="Y317" t="s">
        <v>47</v>
      </c>
      <c r="Z317">
        <v>42024.3</v>
      </c>
      <c r="AA317">
        <v>13005.900000000003</v>
      </c>
    </row>
    <row r="318" spans="1:27" x14ac:dyDescent="0.3">
      <c r="A318" t="s">
        <v>837</v>
      </c>
      <c r="B318" s="1">
        <v>44938</v>
      </c>
      <c r="C318" t="s">
        <v>718</v>
      </c>
      <c r="D318" t="s">
        <v>302</v>
      </c>
      <c r="E318">
        <v>2</v>
      </c>
      <c r="F318" t="s">
        <v>28</v>
      </c>
      <c r="G318">
        <v>0</v>
      </c>
      <c r="H318" t="s">
        <v>719</v>
      </c>
      <c r="I318" t="s">
        <v>30</v>
      </c>
      <c r="J318">
        <v>47</v>
      </c>
      <c r="K318" t="s">
        <v>155</v>
      </c>
      <c r="L318" t="s">
        <v>108</v>
      </c>
      <c r="M318" s="1">
        <v>44932</v>
      </c>
      <c r="N318" t="s">
        <v>33</v>
      </c>
      <c r="O318" t="s">
        <v>304</v>
      </c>
      <c r="P318" t="s">
        <v>68</v>
      </c>
      <c r="Q318" t="s">
        <v>120</v>
      </c>
      <c r="R318">
        <v>1858.72</v>
      </c>
      <c r="S318">
        <v>2175.88</v>
      </c>
      <c r="T318">
        <v>272</v>
      </c>
      <c r="U318">
        <v>13002.92</v>
      </c>
      <c r="V318">
        <v>111.6</v>
      </c>
      <c r="W318">
        <v>12891.32</v>
      </c>
      <c r="X318">
        <v>1740.42</v>
      </c>
      <c r="Y318" t="s">
        <v>47</v>
      </c>
      <c r="Z318">
        <v>4351.76</v>
      </c>
      <c r="AA318">
        <v>634.32000000000016</v>
      </c>
    </row>
    <row r="319" spans="1:27" x14ac:dyDescent="0.3">
      <c r="A319" t="s">
        <v>838</v>
      </c>
      <c r="B319" s="1">
        <v>45218</v>
      </c>
      <c r="C319" t="s">
        <v>196</v>
      </c>
      <c r="D319" t="s">
        <v>408</v>
      </c>
      <c r="E319">
        <v>6</v>
      </c>
      <c r="F319" t="s">
        <v>90</v>
      </c>
      <c r="G319">
        <v>18</v>
      </c>
      <c r="H319" t="s">
        <v>198</v>
      </c>
      <c r="I319" t="s">
        <v>30</v>
      </c>
      <c r="J319">
        <v>37</v>
      </c>
      <c r="K319" t="s">
        <v>65</v>
      </c>
      <c r="L319" t="s">
        <v>53</v>
      </c>
      <c r="M319" s="1">
        <v>45436</v>
      </c>
      <c r="N319" t="s">
        <v>33</v>
      </c>
      <c r="O319" t="s">
        <v>410</v>
      </c>
      <c r="P319" t="s">
        <v>68</v>
      </c>
      <c r="Q319" t="s">
        <v>46</v>
      </c>
      <c r="R319">
        <v>2025.88</v>
      </c>
      <c r="S319">
        <v>2513.29</v>
      </c>
      <c r="T319">
        <v>67</v>
      </c>
      <c r="U319">
        <v>3862.23</v>
      </c>
      <c r="V319">
        <v>182.85</v>
      </c>
      <c r="W319">
        <v>3679.38</v>
      </c>
      <c r="X319">
        <v>1608.96</v>
      </c>
      <c r="Y319" t="s">
        <v>47</v>
      </c>
      <c r="Z319">
        <v>15079.74</v>
      </c>
      <c r="AA319">
        <v>2924.4599999999991</v>
      </c>
    </row>
    <row r="320" spans="1:27" x14ac:dyDescent="0.3">
      <c r="A320" t="s">
        <v>839</v>
      </c>
      <c r="B320" s="1">
        <v>44968</v>
      </c>
      <c r="C320" t="s">
        <v>138</v>
      </c>
      <c r="D320" t="s">
        <v>510</v>
      </c>
      <c r="E320">
        <v>4</v>
      </c>
      <c r="F320" t="s">
        <v>90</v>
      </c>
      <c r="G320">
        <v>0</v>
      </c>
      <c r="H320" t="s">
        <v>139</v>
      </c>
      <c r="I320" t="s">
        <v>80</v>
      </c>
      <c r="J320">
        <v>25</v>
      </c>
      <c r="K320" t="s">
        <v>53</v>
      </c>
      <c r="L320" t="s">
        <v>81</v>
      </c>
      <c r="M320" s="1">
        <v>44756</v>
      </c>
      <c r="N320" t="s">
        <v>54</v>
      </c>
      <c r="O320" t="s">
        <v>512</v>
      </c>
      <c r="P320" t="s">
        <v>110</v>
      </c>
      <c r="Q320" t="s">
        <v>36</v>
      </c>
      <c r="R320">
        <v>952.01</v>
      </c>
      <c r="S320">
        <v>1107.5</v>
      </c>
      <c r="T320">
        <v>162</v>
      </c>
      <c r="U320">
        <v>15653.77</v>
      </c>
      <c r="V320">
        <v>124.69</v>
      </c>
      <c r="W320">
        <v>15529.08</v>
      </c>
      <c r="X320">
        <v>4141.01</v>
      </c>
      <c r="Y320" t="s">
        <v>83</v>
      </c>
      <c r="Z320">
        <v>4430</v>
      </c>
      <c r="AA320">
        <v>621.96</v>
      </c>
    </row>
    <row r="321" spans="1:27" x14ac:dyDescent="0.3">
      <c r="A321" t="s">
        <v>840</v>
      </c>
      <c r="B321" s="1">
        <v>44968</v>
      </c>
      <c r="C321" t="s">
        <v>736</v>
      </c>
      <c r="D321" t="s">
        <v>471</v>
      </c>
      <c r="E321">
        <v>4</v>
      </c>
      <c r="F321" t="s">
        <v>28</v>
      </c>
      <c r="G321">
        <v>6</v>
      </c>
      <c r="H321" t="s">
        <v>737</v>
      </c>
      <c r="I321" t="s">
        <v>30</v>
      </c>
      <c r="J321">
        <v>37</v>
      </c>
      <c r="K321" t="s">
        <v>65</v>
      </c>
      <c r="L321" t="s">
        <v>43</v>
      </c>
      <c r="M321" s="1">
        <v>45600</v>
      </c>
      <c r="N321" t="s">
        <v>54</v>
      </c>
      <c r="O321" t="s">
        <v>473</v>
      </c>
      <c r="P321" t="s">
        <v>68</v>
      </c>
      <c r="Q321" t="s">
        <v>120</v>
      </c>
      <c r="R321">
        <v>1492.62</v>
      </c>
      <c r="S321">
        <v>2285.1999999999998</v>
      </c>
      <c r="T321">
        <v>106</v>
      </c>
      <c r="U321">
        <v>4146.16</v>
      </c>
      <c r="V321">
        <v>997.15</v>
      </c>
      <c r="W321">
        <v>3149.01</v>
      </c>
      <c r="X321">
        <v>945.79</v>
      </c>
      <c r="Y321" t="s">
        <v>37</v>
      </c>
      <c r="Z321">
        <v>9140.7999999999993</v>
      </c>
      <c r="AA321">
        <v>3170.3199999999997</v>
      </c>
    </row>
    <row r="322" spans="1:27" x14ac:dyDescent="0.3">
      <c r="A322" t="s">
        <v>841</v>
      </c>
      <c r="B322" s="1">
        <v>45009</v>
      </c>
      <c r="C322" t="s">
        <v>842</v>
      </c>
      <c r="D322" t="s">
        <v>315</v>
      </c>
      <c r="E322">
        <v>2</v>
      </c>
      <c r="F322" t="s">
        <v>51</v>
      </c>
      <c r="G322">
        <v>4</v>
      </c>
      <c r="H322" t="s">
        <v>843</v>
      </c>
      <c r="I322" t="s">
        <v>30</v>
      </c>
      <c r="J322">
        <v>60</v>
      </c>
      <c r="K322" t="s">
        <v>53</v>
      </c>
      <c r="L322" t="s">
        <v>81</v>
      </c>
      <c r="M322" s="1">
        <v>44753</v>
      </c>
      <c r="N322" t="s">
        <v>33</v>
      </c>
      <c r="O322" t="s">
        <v>316</v>
      </c>
      <c r="P322" t="s">
        <v>110</v>
      </c>
      <c r="Q322" t="s">
        <v>120</v>
      </c>
      <c r="R322">
        <v>2359.8000000000002</v>
      </c>
      <c r="S322">
        <v>2910.71</v>
      </c>
      <c r="T322">
        <v>211</v>
      </c>
      <c r="U322">
        <v>10672.13</v>
      </c>
      <c r="V322">
        <v>139.54</v>
      </c>
      <c r="W322">
        <v>10532.59</v>
      </c>
      <c r="X322">
        <v>4800.46</v>
      </c>
      <c r="Y322" t="s">
        <v>83</v>
      </c>
      <c r="Z322">
        <v>5821.42</v>
      </c>
      <c r="AA322">
        <v>1101.8199999999997</v>
      </c>
    </row>
    <row r="323" spans="1:27" x14ac:dyDescent="0.3">
      <c r="A323" t="s">
        <v>844</v>
      </c>
      <c r="B323" s="1">
        <v>44971</v>
      </c>
      <c r="C323" t="s">
        <v>582</v>
      </c>
      <c r="D323" t="s">
        <v>89</v>
      </c>
      <c r="E323">
        <v>1</v>
      </c>
      <c r="F323" t="s">
        <v>90</v>
      </c>
      <c r="G323">
        <v>11</v>
      </c>
      <c r="H323" t="s">
        <v>583</v>
      </c>
      <c r="I323" t="s">
        <v>80</v>
      </c>
      <c r="J323">
        <v>39</v>
      </c>
      <c r="K323" t="s">
        <v>60</v>
      </c>
      <c r="L323" t="s">
        <v>43</v>
      </c>
      <c r="M323" s="1">
        <v>45402</v>
      </c>
      <c r="N323" t="s">
        <v>44</v>
      </c>
      <c r="O323" t="s">
        <v>93</v>
      </c>
      <c r="P323" t="s">
        <v>94</v>
      </c>
      <c r="Q323" t="s">
        <v>46</v>
      </c>
      <c r="R323">
        <v>1290.44</v>
      </c>
      <c r="S323">
        <v>1756.94</v>
      </c>
      <c r="T323">
        <v>226</v>
      </c>
      <c r="U323">
        <v>17624.150000000001</v>
      </c>
      <c r="V323">
        <v>1338</v>
      </c>
      <c r="W323">
        <v>16286.15</v>
      </c>
      <c r="X323">
        <v>4073.62</v>
      </c>
      <c r="Y323" t="s">
        <v>37</v>
      </c>
      <c r="Z323">
        <v>1756.94</v>
      </c>
      <c r="AA323">
        <v>466.5</v>
      </c>
    </row>
    <row r="324" spans="1:27" x14ac:dyDescent="0.3">
      <c r="A324" t="s">
        <v>845</v>
      </c>
      <c r="B324" s="1">
        <v>45083</v>
      </c>
      <c r="C324" t="s">
        <v>749</v>
      </c>
      <c r="D324" t="s">
        <v>102</v>
      </c>
      <c r="E324">
        <v>5</v>
      </c>
      <c r="F324" t="s">
        <v>51</v>
      </c>
      <c r="G324">
        <v>3</v>
      </c>
      <c r="H324" t="s">
        <v>750</v>
      </c>
      <c r="I324" t="s">
        <v>30</v>
      </c>
      <c r="J324">
        <v>37</v>
      </c>
      <c r="K324" t="s">
        <v>155</v>
      </c>
      <c r="L324" t="s">
        <v>32</v>
      </c>
      <c r="M324" s="1">
        <v>45308</v>
      </c>
      <c r="N324" t="s">
        <v>33</v>
      </c>
      <c r="O324" t="s">
        <v>103</v>
      </c>
      <c r="P324" t="s">
        <v>94</v>
      </c>
      <c r="Q324" t="s">
        <v>46</v>
      </c>
      <c r="R324">
        <v>4398.43</v>
      </c>
      <c r="S324">
        <v>6683.28</v>
      </c>
      <c r="T324">
        <v>152</v>
      </c>
      <c r="U324">
        <v>11121.23</v>
      </c>
      <c r="V324">
        <v>343.36</v>
      </c>
      <c r="W324">
        <v>10777.87</v>
      </c>
      <c r="X324">
        <v>4268.0200000000004</v>
      </c>
      <c r="Y324" t="s">
        <v>37</v>
      </c>
      <c r="Z324">
        <v>33416.400000000001</v>
      </c>
      <c r="AA324">
        <v>11424.249999999996</v>
      </c>
    </row>
    <row r="325" spans="1:27" x14ac:dyDescent="0.3">
      <c r="A325" t="s">
        <v>846</v>
      </c>
      <c r="B325" s="1">
        <v>45077</v>
      </c>
      <c r="C325" t="s">
        <v>438</v>
      </c>
      <c r="D325" t="s">
        <v>287</v>
      </c>
      <c r="E325">
        <v>2</v>
      </c>
      <c r="F325" t="s">
        <v>51</v>
      </c>
      <c r="G325">
        <v>5</v>
      </c>
      <c r="H325" t="s">
        <v>439</v>
      </c>
      <c r="I325" t="s">
        <v>30</v>
      </c>
      <c r="J325">
        <v>57</v>
      </c>
      <c r="K325" t="s">
        <v>53</v>
      </c>
      <c r="L325" t="s">
        <v>43</v>
      </c>
      <c r="M325" s="1">
        <v>45545</v>
      </c>
      <c r="N325" t="s">
        <v>33</v>
      </c>
      <c r="O325" t="s">
        <v>288</v>
      </c>
      <c r="P325" t="s">
        <v>68</v>
      </c>
      <c r="Q325" t="s">
        <v>46</v>
      </c>
      <c r="R325">
        <v>2345.7800000000002</v>
      </c>
      <c r="S325">
        <v>2891.96</v>
      </c>
      <c r="T325">
        <v>122</v>
      </c>
      <c r="U325">
        <v>1922.98</v>
      </c>
      <c r="V325">
        <v>271.98</v>
      </c>
      <c r="W325">
        <v>1651</v>
      </c>
      <c r="X325">
        <v>3563.74</v>
      </c>
      <c r="Y325" t="s">
        <v>83</v>
      </c>
      <c r="Z325">
        <v>5783.92</v>
      </c>
      <c r="AA325">
        <v>1092.3599999999997</v>
      </c>
    </row>
    <row r="326" spans="1:27" x14ac:dyDescent="0.3">
      <c r="A326" t="s">
        <v>847</v>
      </c>
      <c r="B326" s="1">
        <v>45152</v>
      </c>
      <c r="C326" t="s">
        <v>346</v>
      </c>
      <c r="D326" t="s">
        <v>125</v>
      </c>
      <c r="E326">
        <v>6</v>
      </c>
      <c r="F326" t="s">
        <v>90</v>
      </c>
      <c r="G326">
        <v>22</v>
      </c>
      <c r="H326" t="s">
        <v>347</v>
      </c>
      <c r="I326" t="s">
        <v>30</v>
      </c>
      <c r="J326">
        <v>23</v>
      </c>
      <c r="K326" t="s">
        <v>92</v>
      </c>
      <c r="L326" t="s">
        <v>81</v>
      </c>
      <c r="M326" s="1">
        <v>45595</v>
      </c>
      <c r="N326" t="s">
        <v>33</v>
      </c>
      <c r="O326" t="s">
        <v>126</v>
      </c>
      <c r="P326" t="s">
        <v>68</v>
      </c>
      <c r="Q326" t="s">
        <v>120</v>
      </c>
      <c r="R326">
        <v>4301.32</v>
      </c>
      <c r="S326">
        <v>6870.07</v>
      </c>
      <c r="T326">
        <v>243</v>
      </c>
      <c r="U326">
        <v>11160.4</v>
      </c>
      <c r="V326">
        <v>912.36</v>
      </c>
      <c r="W326">
        <v>10248.040000000001</v>
      </c>
      <c r="X326">
        <v>640.36</v>
      </c>
      <c r="Y326" t="s">
        <v>56</v>
      </c>
      <c r="Z326">
        <v>41220.42</v>
      </c>
      <c r="AA326">
        <v>15412.5</v>
      </c>
    </row>
    <row r="327" spans="1:27" x14ac:dyDescent="0.3">
      <c r="A327" t="s">
        <v>848</v>
      </c>
      <c r="B327" s="1">
        <v>44987</v>
      </c>
      <c r="C327" t="s">
        <v>531</v>
      </c>
      <c r="D327" t="s">
        <v>527</v>
      </c>
      <c r="E327">
        <v>2</v>
      </c>
      <c r="F327" t="s">
        <v>28</v>
      </c>
      <c r="G327">
        <v>15</v>
      </c>
      <c r="H327" t="s">
        <v>532</v>
      </c>
      <c r="I327" t="s">
        <v>30</v>
      </c>
      <c r="J327">
        <v>37</v>
      </c>
      <c r="K327" t="s">
        <v>73</v>
      </c>
      <c r="L327" t="s">
        <v>32</v>
      </c>
      <c r="M327" s="1">
        <v>45419</v>
      </c>
      <c r="N327" t="s">
        <v>33</v>
      </c>
      <c r="O327" t="s">
        <v>528</v>
      </c>
      <c r="P327" t="s">
        <v>94</v>
      </c>
      <c r="Q327" t="s">
        <v>46</v>
      </c>
      <c r="R327">
        <v>2643.84</v>
      </c>
      <c r="S327">
        <v>3790.58</v>
      </c>
      <c r="T327">
        <v>63</v>
      </c>
      <c r="U327">
        <v>17985.63</v>
      </c>
      <c r="V327">
        <v>531.35</v>
      </c>
      <c r="W327">
        <v>17454.28</v>
      </c>
      <c r="X327">
        <v>3927.24</v>
      </c>
      <c r="Y327" t="s">
        <v>83</v>
      </c>
      <c r="Z327">
        <v>7581.16</v>
      </c>
      <c r="AA327">
        <v>2293.4799999999996</v>
      </c>
    </row>
    <row r="328" spans="1:27" x14ac:dyDescent="0.3">
      <c r="A328" t="s">
        <v>849</v>
      </c>
      <c r="B328" s="1">
        <v>45255</v>
      </c>
      <c r="C328" t="s">
        <v>850</v>
      </c>
      <c r="D328" t="s">
        <v>302</v>
      </c>
      <c r="E328">
        <v>2</v>
      </c>
      <c r="F328" t="s">
        <v>51</v>
      </c>
      <c r="G328">
        <v>25</v>
      </c>
      <c r="H328" t="s">
        <v>851</v>
      </c>
      <c r="I328" t="s">
        <v>30</v>
      </c>
      <c r="J328">
        <v>45</v>
      </c>
      <c r="K328" t="s">
        <v>42</v>
      </c>
      <c r="L328" t="s">
        <v>43</v>
      </c>
      <c r="M328" s="1">
        <v>45533</v>
      </c>
      <c r="N328" t="s">
        <v>33</v>
      </c>
      <c r="O328" t="s">
        <v>304</v>
      </c>
      <c r="P328" t="s">
        <v>68</v>
      </c>
      <c r="Q328" t="s">
        <v>120</v>
      </c>
      <c r="R328">
        <v>1858.72</v>
      </c>
      <c r="S328">
        <v>2175.88</v>
      </c>
      <c r="T328">
        <v>272</v>
      </c>
      <c r="U328">
        <v>8249.9599999999991</v>
      </c>
      <c r="V328">
        <v>95.35</v>
      </c>
      <c r="W328">
        <v>8154.61</v>
      </c>
      <c r="X328">
        <v>4619.91</v>
      </c>
      <c r="Y328" t="s">
        <v>47</v>
      </c>
      <c r="Z328">
        <v>4351.76</v>
      </c>
      <c r="AA328">
        <v>634.32000000000016</v>
      </c>
    </row>
    <row r="329" spans="1:27" x14ac:dyDescent="0.3">
      <c r="A329" t="s">
        <v>852</v>
      </c>
      <c r="B329" s="1">
        <v>44977</v>
      </c>
      <c r="C329" t="s">
        <v>624</v>
      </c>
      <c r="D329" t="s">
        <v>510</v>
      </c>
      <c r="E329">
        <v>1</v>
      </c>
      <c r="F329" t="s">
        <v>51</v>
      </c>
      <c r="G329">
        <v>0</v>
      </c>
      <c r="H329" t="s">
        <v>625</v>
      </c>
      <c r="I329" t="s">
        <v>30</v>
      </c>
      <c r="J329">
        <v>39</v>
      </c>
      <c r="K329" t="s">
        <v>92</v>
      </c>
      <c r="L329" t="s">
        <v>32</v>
      </c>
      <c r="M329" s="1">
        <v>45728</v>
      </c>
      <c r="N329" t="s">
        <v>44</v>
      </c>
      <c r="O329" t="s">
        <v>512</v>
      </c>
      <c r="P329" t="s">
        <v>110</v>
      </c>
      <c r="Q329" t="s">
        <v>36</v>
      </c>
      <c r="R329">
        <v>952.01</v>
      </c>
      <c r="S329">
        <v>1107.5</v>
      </c>
      <c r="T329">
        <v>162</v>
      </c>
      <c r="U329">
        <v>9696.58</v>
      </c>
      <c r="V329">
        <v>1664.82</v>
      </c>
      <c r="W329">
        <v>8031.76</v>
      </c>
      <c r="X329">
        <v>4695.03</v>
      </c>
      <c r="Y329" t="s">
        <v>83</v>
      </c>
      <c r="Z329">
        <v>1107.5</v>
      </c>
      <c r="AA329">
        <v>155.49</v>
      </c>
    </row>
    <row r="330" spans="1:27" x14ac:dyDescent="0.3">
      <c r="A330" t="s">
        <v>853</v>
      </c>
      <c r="B330" s="1">
        <v>45177</v>
      </c>
      <c r="C330" t="s">
        <v>663</v>
      </c>
      <c r="D330" t="s">
        <v>193</v>
      </c>
      <c r="E330">
        <v>6</v>
      </c>
      <c r="F330" t="s">
        <v>78</v>
      </c>
      <c r="G330">
        <v>18</v>
      </c>
      <c r="H330" t="s">
        <v>664</v>
      </c>
      <c r="I330" t="s">
        <v>30</v>
      </c>
      <c r="J330">
        <v>34</v>
      </c>
      <c r="K330" t="s">
        <v>31</v>
      </c>
      <c r="L330" t="s">
        <v>81</v>
      </c>
      <c r="M330" s="1">
        <v>44942</v>
      </c>
      <c r="N330" t="s">
        <v>54</v>
      </c>
      <c r="O330" t="s">
        <v>194</v>
      </c>
      <c r="P330" t="s">
        <v>94</v>
      </c>
      <c r="Q330" t="s">
        <v>120</v>
      </c>
      <c r="R330">
        <v>1267.6600000000001</v>
      </c>
      <c r="S330">
        <v>1481.07</v>
      </c>
      <c r="T330">
        <v>99</v>
      </c>
      <c r="U330">
        <v>659.37</v>
      </c>
      <c r="V330">
        <v>90.42</v>
      </c>
      <c r="W330">
        <v>568.95000000000005</v>
      </c>
      <c r="X330">
        <v>278.27999999999997</v>
      </c>
      <c r="Y330" t="s">
        <v>47</v>
      </c>
      <c r="Z330">
        <v>8886.42</v>
      </c>
      <c r="AA330">
        <v>1280.4599999999991</v>
      </c>
    </row>
    <row r="331" spans="1:27" x14ac:dyDescent="0.3">
      <c r="A331" t="s">
        <v>854</v>
      </c>
      <c r="B331" s="1">
        <v>44978</v>
      </c>
      <c r="C331" t="s">
        <v>824</v>
      </c>
      <c r="D331" t="s">
        <v>177</v>
      </c>
      <c r="E331">
        <v>6</v>
      </c>
      <c r="F331" t="s">
        <v>51</v>
      </c>
      <c r="G331">
        <v>12</v>
      </c>
      <c r="H331" t="s">
        <v>825</v>
      </c>
      <c r="I331" t="s">
        <v>30</v>
      </c>
      <c r="J331">
        <v>34</v>
      </c>
      <c r="K331" t="s">
        <v>155</v>
      </c>
      <c r="L331" t="s">
        <v>53</v>
      </c>
      <c r="M331" s="1">
        <v>45361</v>
      </c>
      <c r="N331" t="s">
        <v>54</v>
      </c>
      <c r="O331" t="s">
        <v>179</v>
      </c>
      <c r="P331" t="s">
        <v>35</v>
      </c>
      <c r="Q331" t="s">
        <v>46</v>
      </c>
      <c r="R331">
        <v>926.86</v>
      </c>
      <c r="S331">
        <v>1109.73</v>
      </c>
      <c r="T331">
        <v>287</v>
      </c>
      <c r="U331">
        <v>4435.8100000000004</v>
      </c>
      <c r="V331">
        <v>43.3</v>
      </c>
      <c r="W331">
        <v>4392.51</v>
      </c>
      <c r="X331">
        <v>2429.06</v>
      </c>
      <c r="Y331" t="s">
        <v>37</v>
      </c>
      <c r="Z331">
        <v>6658.38</v>
      </c>
      <c r="AA331">
        <v>1097.22</v>
      </c>
    </row>
    <row r="332" spans="1:27" x14ac:dyDescent="0.3">
      <c r="A332" t="s">
        <v>855</v>
      </c>
      <c r="B332" s="1">
        <v>45008</v>
      </c>
      <c r="C332" t="s">
        <v>856</v>
      </c>
      <c r="D332" t="s">
        <v>650</v>
      </c>
      <c r="E332">
        <v>1</v>
      </c>
      <c r="F332" t="s">
        <v>28</v>
      </c>
      <c r="G332">
        <v>9</v>
      </c>
      <c r="H332" t="s">
        <v>857</v>
      </c>
      <c r="I332" t="s">
        <v>30</v>
      </c>
      <c r="J332">
        <v>54</v>
      </c>
      <c r="K332" t="s">
        <v>73</v>
      </c>
      <c r="L332" t="s">
        <v>43</v>
      </c>
      <c r="M332" s="1">
        <v>45608</v>
      </c>
      <c r="N332" t="s">
        <v>44</v>
      </c>
      <c r="O332" t="s">
        <v>652</v>
      </c>
      <c r="P332" t="s">
        <v>110</v>
      </c>
      <c r="Q332" t="s">
        <v>46</v>
      </c>
      <c r="R332">
        <v>4581.92</v>
      </c>
      <c r="S332">
        <v>5789.36</v>
      </c>
      <c r="T332">
        <v>140</v>
      </c>
      <c r="U332">
        <v>5304.77</v>
      </c>
      <c r="V332">
        <v>1245.3900000000001</v>
      </c>
      <c r="W332">
        <v>4059.38</v>
      </c>
      <c r="X332">
        <v>3136.9</v>
      </c>
      <c r="Y332" t="s">
        <v>83</v>
      </c>
      <c r="Z332">
        <v>5789.36</v>
      </c>
      <c r="AA332">
        <v>1207.4399999999996</v>
      </c>
    </row>
    <row r="333" spans="1:27" x14ac:dyDescent="0.3">
      <c r="A333" t="s">
        <v>858</v>
      </c>
      <c r="B333" s="1">
        <v>45117</v>
      </c>
      <c r="C333" t="s">
        <v>649</v>
      </c>
      <c r="D333" t="s">
        <v>177</v>
      </c>
      <c r="E333">
        <v>2</v>
      </c>
      <c r="F333" t="s">
        <v>28</v>
      </c>
      <c r="G333">
        <v>0</v>
      </c>
      <c r="H333" t="s">
        <v>651</v>
      </c>
      <c r="I333" t="s">
        <v>80</v>
      </c>
      <c r="J333">
        <v>21</v>
      </c>
      <c r="K333" t="s">
        <v>92</v>
      </c>
      <c r="L333" t="s">
        <v>81</v>
      </c>
      <c r="M333" s="1">
        <v>45497</v>
      </c>
      <c r="N333" t="s">
        <v>33</v>
      </c>
      <c r="O333" t="s">
        <v>179</v>
      </c>
      <c r="P333" t="s">
        <v>35</v>
      </c>
      <c r="Q333" t="s">
        <v>46</v>
      </c>
      <c r="R333">
        <v>926.86</v>
      </c>
      <c r="S333">
        <v>1109.73</v>
      </c>
      <c r="T333">
        <v>287</v>
      </c>
      <c r="U333">
        <v>9708.01</v>
      </c>
      <c r="V333">
        <v>2120</v>
      </c>
      <c r="W333">
        <v>7588.01</v>
      </c>
      <c r="X333">
        <v>4273.95</v>
      </c>
      <c r="Y333" t="s">
        <v>37</v>
      </c>
      <c r="Z333">
        <v>2219.46</v>
      </c>
      <c r="AA333">
        <v>365.74</v>
      </c>
    </row>
    <row r="334" spans="1:27" x14ac:dyDescent="0.3">
      <c r="A334" t="s">
        <v>859</v>
      </c>
      <c r="B334" s="1">
        <v>44928</v>
      </c>
      <c r="C334" t="s">
        <v>624</v>
      </c>
      <c r="D334" t="s">
        <v>223</v>
      </c>
      <c r="E334">
        <v>3</v>
      </c>
      <c r="F334" t="s">
        <v>28</v>
      </c>
      <c r="G334">
        <v>9</v>
      </c>
      <c r="H334" t="s">
        <v>625</v>
      </c>
      <c r="I334" t="s">
        <v>30</v>
      </c>
      <c r="J334">
        <v>39</v>
      </c>
      <c r="K334" t="s">
        <v>92</v>
      </c>
      <c r="L334" t="s">
        <v>32</v>
      </c>
      <c r="M334" s="1">
        <v>45728</v>
      </c>
      <c r="N334" t="s">
        <v>44</v>
      </c>
      <c r="O334" t="s">
        <v>224</v>
      </c>
      <c r="P334" t="s">
        <v>35</v>
      </c>
      <c r="Q334" t="s">
        <v>111</v>
      </c>
      <c r="R334">
        <v>3470.49</v>
      </c>
      <c r="S334">
        <v>5407.89</v>
      </c>
      <c r="T334">
        <v>141</v>
      </c>
      <c r="U334">
        <v>5288.6</v>
      </c>
      <c r="V334">
        <v>153.63999999999999</v>
      </c>
      <c r="W334">
        <v>5134.96</v>
      </c>
      <c r="X334">
        <v>3027.14</v>
      </c>
      <c r="Y334" t="s">
        <v>37</v>
      </c>
      <c r="Z334">
        <v>16223.670000000002</v>
      </c>
      <c r="AA334">
        <v>5812.2000000000016</v>
      </c>
    </row>
    <row r="335" spans="1:27" x14ac:dyDescent="0.3">
      <c r="A335" t="s">
        <v>860</v>
      </c>
      <c r="B335" s="1">
        <v>44963</v>
      </c>
      <c r="C335" t="s">
        <v>718</v>
      </c>
      <c r="D335" t="s">
        <v>146</v>
      </c>
      <c r="E335">
        <v>4</v>
      </c>
      <c r="F335" t="s">
        <v>28</v>
      </c>
      <c r="G335">
        <v>16</v>
      </c>
      <c r="H335" t="s">
        <v>719</v>
      </c>
      <c r="I335" t="s">
        <v>30</v>
      </c>
      <c r="J335">
        <v>47</v>
      </c>
      <c r="K335" t="s">
        <v>155</v>
      </c>
      <c r="L335" t="s">
        <v>108</v>
      </c>
      <c r="M335" s="1">
        <v>44932</v>
      </c>
      <c r="N335" t="s">
        <v>33</v>
      </c>
      <c r="O335" t="s">
        <v>147</v>
      </c>
      <c r="P335" t="s">
        <v>94</v>
      </c>
      <c r="Q335" t="s">
        <v>111</v>
      </c>
      <c r="R335">
        <v>662.05</v>
      </c>
      <c r="S335">
        <v>1019.21</v>
      </c>
      <c r="T335">
        <v>49</v>
      </c>
      <c r="U335">
        <v>1527.42</v>
      </c>
      <c r="V335">
        <v>287.79000000000002</v>
      </c>
      <c r="W335">
        <v>1239.6300000000001</v>
      </c>
      <c r="X335">
        <v>3166.86</v>
      </c>
      <c r="Y335" t="s">
        <v>47</v>
      </c>
      <c r="Z335">
        <v>4076.84</v>
      </c>
      <c r="AA335">
        <v>1428.6400000000003</v>
      </c>
    </row>
    <row r="336" spans="1:27" x14ac:dyDescent="0.3">
      <c r="A336" t="s">
        <v>861</v>
      </c>
      <c r="B336" s="1">
        <v>45060</v>
      </c>
      <c r="C336" t="s">
        <v>149</v>
      </c>
      <c r="D336" t="s">
        <v>236</v>
      </c>
      <c r="E336">
        <v>6</v>
      </c>
      <c r="F336" t="s">
        <v>51</v>
      </c>
      <c r="G336">
        <v>7</v>
      </c>
      <c r="H336" t="s">
        <v>150</v>
      </c>
      <c r="I336" t="s">
        <v>30</v>
      </c>
      <c r="J336">
        <v>44</v>
      </c>
      <c r="K336" t="s">
        <v>73</v>
      </c>
      <c r="L336" t="s">
        <v>81</v>
      </c>
      <c r="M336" s="1">
        <v>44918</v>
      </c>
      <c r="N336" t="s">
        <v>33</v>
      </c>
      <c r="O336" t="s">
        <v>238</v>
      </c>
      <c r="P336" t="s">
        <v>68</v>
      </c>
      <c r="Q336" t="s">
        <v>120</v>
      </c>
      <c r="R336">
        <v>3957.37</v>
      </c>
      <c r="S336">
        <v>5045.3500000000004</v>
      </c>
      <c r="T336">
        <v>227</v>
      </c>
      <c r="U336">
        <v>14273.31</v>
      </c>
      <c r="V336">
        <v>2154.94</v>
      </c>
      <c r="W336">
        <v>12118.37</v>
      </c>
      <c r="X336">
        <v>3543.4</v>
      </c>
      <c r="Y336" t="s">
        <v>56</v>
      </c>
      <c r="Z336">
        <v>30272.100000000002</v>
      </c>
      <c r="AA336">
        <v>6527.8800000000028</v>
      </c>
    </row>
    <row r="337" spans="1:27" x14ac:dyDescent="0.3">
      <c r="A337" t="s">
        <v>862</v>
      </c>
      <c r="B337" s="1">
        <v>45259</v>
      </c>
      <c r="C337" t="s">
        <v>149</v>
      </c>
      <c r="D337" t="s">
        <v>27</v>
      </c>
      <c r="E337">
        <v>3</v>
      </c>
      <c r="F337" t="s">
        <v>51</v>
      </c>
      <c r="G337">
        <v>7</v>
      </c>
      <c r="H337" t="s">
        <v>150</v>
      </c>
      <c r="I337" t="s">
        <v>30</v>
      </c>
      <c r="J337">
        <v>44</v>
      </c>
      <c r="K337" t="s">
        <v>73</v>
      </c>
      <c r="L337" t="s">
        <v>81</v>
      </c>
      <c r="M337" s="1">
        <v>44918</v>
      </c>
      <c r="N337" t="s">
        <v>33</v>
      </c>
      <c r="O337" t="s">
        <v>34</v>
      </c>
      <c r="P337" t="s">
        <v>35</v>
      </c>
      <c r="Q337" t="s">
        <v>36</v>
      </c>
      <c r="R337">
        <v>4318.8599999999997</v>
      </c>
      <c r="S337">
        <v>4880.6400000000003</v>
      </c>
      <c r="T337">
        <v>149</v>
      </c>
      <c r="U337">
        <v>14287.98</v>
      </c>
      <c r="V337">
        <v>918.91</v>
      </c>
      <c r="W337">
        <v>13369.07</v>
      </c>
      <c r="X337">
        <v>2451.73</v>
      </c>
      <c r="Y337" t="s">
        <v>47</v>
      </c>
      <c r="Z337">
        <v>14641.920000000002</v>
      </c>
      <c r="AA337">
        <v>1685.340000000002</v>
      </c>
    </row>
    <row r="338" spans="1:27" x14ac:dyDescent="0.3">
      <c r="A338" t="s">
        <v>863</v>
      </c>
      <c r="B338" s="1">
        <v>45211</v>
      </c>
      <c r="C338" t="s">
        <v>864</v>
      </c>
      <c r="D338" t="s">
        <v>98</v>
      </c>
      <c r="E338">
        <v>5</v>
      </c>
      <c r="F338" t="s">
        <v>51</v>
      </c>
      <c r="G338">
        <v>19</v>
      </c>
      <c r="H338" t="s">
        <v>865</v>
      </c>
      <c r="I338" t="s">
        <v>80</v>
      </c>
      <c r="J338">
        <v>38</v>
      </c>
      <c r="K338" t="s">
        <v>65</v>
      </c>
      <c r="L338" t="s">
        <v>81</v>
      </c>
      <c r="M338" s="1">
        <v>44677</v>
      </c>
      <c r="N338" t="s">
        <v>33</v>
      </c>
      <c r="O338" t="s">
        <v>100</v>
      </c>
      <c r="P338" t="s">
        <v>94</v>
      </c>
      <c r="Q338" t="s">
        <v>36</v>
      </c>
      <c r="R338">
        <v>4225.4799999999996</v>
      </c>
      <c r="S338">
        <v>6100.15</v>
      </c>
      <c r="T338">
        <v>279</v>
      </c>
      <c r="U338">
        <v>4988.6000000000004</v>
      </c>
      <c r="V338">
        <v>982</v>
      </c>
      <c r="W338">
        <v>4006.6</v>
      </c>
      <c r="X338">
        <v>4987.42</v>
      </c>
      <c r="Y338" t="s">
        <v>83</v>
      </c>
      <c r="Z338">
        <v>30500.75</v>
      </c>
      <c r="AA338">
        <v>9373.35</v>
      </c>
    </row>
    <row r="339" spans="1:27" x14ac:dyDescent="0.3">
      <c r="A339" t="s">
        <v>866</v>
      </c>
      <c r="B339" s="1">
        <v>45289</v>
      </c>
      <c r="C339" t="s">
        <v>359</v>
      </c>
      <c r="D339" t="s">
        <v>230</v>
      </c>
      <c r="E339">
        <v>3</v>
      </c>
      <c r="F339" t="s">
        <v>78</v>
      </c>
      <c r="G339">
        <v>25</v>
      </c>
      <c r="H339" t="s">
        <v>360</v>
      </c>
      <c r="I339" t="s">
        <v>30</v>
      </c>
      <c r="J339">
        <v>24</v>
      </c>
      <c r="K339" t="s">
        <v>31</v>
      </c>
      <c r="L339" t="s">
        <v>81</v>
      </c>
      <c r="M339" s="1">
        <v>45026</v>
      </c>
      <c r="N339" t="s">
        <v>54</v>
      </c>
      <c r="O339" t="s">
        <v>232</v>
      </c>
      <c r="P339" t="s">
        <v>110</v>
      </c>
      <c r="Q339" t="s">
        <v>46</v>
      </c>
      <c r="R339">
        <v>4570.75</v>
      </c>
      <c r="S339">
        <v>5891.26</v>
      </c>
      <c r="T339">
        <v>285</v>
      </c>
      <c r="U339">
        <v>12081.7</v>
      </c>
      <c r="V339">
        <v>669.65</v>
      </c>
      <c r="W339">
        <v>11412.05</v>
      </c>
      <c r="X339">
        <v>1704.05</v>
      </c>
      <c r="Y339" t="s">
        <v>83</v>
      </c>
      <c r="Z339">
        <v>17673.78</v>
      </c>
      <c r="AA339">
        <v>3961.5300000000007</v>
      </c>
    </row>
    <row r="340" spans="1:27" x14ac:dyDescent="0.3">
      <c r="A340" t="s">
        <v>867</v>
      </c>
      <c r="B340" s="1">
        <v>45231</v>
      </c>
      <c r="C340" t="s">
        <v>368</v>
      </c>
      <c r="D340" t="s">
        <v>197</v>
      </c>
      <c r="E340">
        <v>5</v>
      </c>
      <c r="F340" t="s">
        <v>90</v>
      </c>
      <c r="G340">
        <v>5</v>
      </c>
      <c r="H340" t="s">
        <v>369</v>
      </c>
      <c r="I340" t="s">
        <v>80</v>
      </c>
      <c r="J340">
        <v>30</v>
      </c>
      <c r="K340" t="s">
        <v>73</v>
      </c>
      <c r="L340" t="s">
        <v>108</v>
      </c>
      <c r="M340" s="1">
        <v>44835</v>
      </c>
      <c r="N340" t="s">
        <v>54</v>
      </c>
      <c r="O340" t="s">
        <v>199</v>
      </c>
      <c r="P340" t="s">
        <v>35</v>
      </c>
      <c r="Q340" t="s">
        <v>46</v>
      </c>
      <c r="R340">
        <v>1612.7</v>
      </c>
      <c r="S340">
        <v>1932.63</v>
      </c>
      <c r="T340">
        <v>278</v>
      </c>
      <c r="U340">
        <v>18031.25</v>
      </c>
      <c r="V340">
        <v>1282.8800000000001</v>
      </c>
      <c r="W340">
        <v>16748.37</v>
      </c>
      <c r="X340">
        <v>3335.24</v>
      </c>
      <c r="Y340" t="s">
        <v>83</v>
      </c>
      <c r="Z340">
        <v>9663.1500000000015</v>
      </c>
      <c r="AA340">
        <v>1599.6500000000003</v>
      </c>
    </row>
    <row r="341" spans="1:27" x14ac:dyDescent="0.3">
      <c r="A341" t="s">
        <v>868</v>
      </c>
      <c r="B341" s="1">
        <v>44935</v>
      </c>
      <c r="C341" t="s">
        <v>116</v>
      </c>
      <c r="D341" t="s">
        <v>349</v>
      </c>
      <c r="E341">
        <v>3</v>
      </c>
      <c r="F341" t="s">
        <v>28</v>
      </c>
      <c r="G341">
        <v>15</v>
      </c>
      <c r="H341" t="s">
        <v>118</v>
      </c>
      <c r="I341" t="s">
        <v>80</v>
      </c>
      <c r="J341">
        <v>52</v>
      </c>
      <c r="K341" t="s">
        <v>31</v>
      </c>
      <c r="L341" t="s">
        <v>43</v>
      </c>
      <c r="M341" s="1">
        <v>45163</v>
      </c>
      <c r="N341" t="s">
        <v>54</v>
      </c>
      <c r="O341" t="s">
        <v>350</v>
      </c>
      <c r="P341" t="s">
        <v>35</v>
      </c>
      <c r="Q341" t="s">
        <v>120</v>
      </c>
      <c r="R341">
        <v>2100.67</v>
      </c>
      <c r="S341">
        <v>3046.71</v>
      </c>
      <c r="T341">
        <v>206</v>
      </c>
      <c r="U341">
        <v>19033.990000000002</v>
      </c>
      <c r="V341">
        <v>2187.27</v>
      </c>
      <c r="W341">
        <v>16846.72</v>
      </c>
      <c r="X341">
        <v>3690.15</v>
      </c>
      <c r="Y341" t="s">
        <v>83</v>
      </c>
      <c r="Z341">
        <v>9140.130000000001</v>
      </c>
      <c r="AA341">
        <v>2838.12</v>
      </c>
    </row>
    <row r="342" spans="1:27" x14ac:dyDescent="0.3">
      <c r="A342" t="s">
        <v>869</v>
      </c>
      <c r="B342" s="1">
        <v>45019</v>
      </c>
      <c r="C342" t="s">
        <v>249</v>
      </c>
      <c r="D342" t="s">
        <v>393</v>
      </c>
      <c r="E342">
        <v>4</v>
      </c>
      <c r="F342" t="s">
        <v>90</v>
      </c>
      <c r="G342">
        <v>12</v>
      </c>
      <c r="H342" t="s">
        <v>250</v>
      </c>
      <c r="I342" t="s">
        <v>30</v>
      </c>
      <c r="J342">
        <v>53</v>
      </c>
      <c r="K342" t="s">
        <v>92</v>
      </c>
      <c r="L342" t="s">
        <v>81</v>
      </c>
      <c r="M342" s="1">
        <v>45745</v>
      </c>
      <c r="N342" t="s">
        <v>54</v>
      </c>
      <c r="O342" t="s">
        <v>395</v>
      </c>
      <c r="P342" t="s">
        <v>35</v>
      </c>
      <c r="Q342" t="s">
        <v>111</v>
      </c>
      <c r="R342">
        <v>4793.34</v>
      </c>
      <c r="S342">
        <v>7058.65</v>
      </c>
      <c r="T342">
        <v>107</v>
      </c>
      <c r="U342">
        <v>8407.75</v>
      </c>
      <c r="V342">
        <v>1601.33</v>
      </c>
      <c r="W342">
        <v>6806.42</v>
      </c>
      <c r="X342">
        <v>4174.2299999999996</v>
      </c>
      <c r="Y342" t="s">
        <v>37</v>
      </c>
      <c r="Z342">
        <v>28234.6</v>
      </c>
      <c r="AA342">
        <v>9061.239999999998</v>
      </c>
    </row>
    <row r="343" spans="1:27" x14ac:dyDescent="0.3">
      <c r="A343" t="s">
        <v>870</v>
      </c>
      <c r="B343" s="1">
        <v>44953</v>
      </c>
      <c r="C343" t="s">
        <v>871</v>
      </c>
      <c r="D343" t="s">
        <v>102</v>
      </c>
      <c r="E343">
        <v>6</v>
      </c>
      <c r="F343" t="s">
        <v>28</v>
      </c>
      <c r="G343">
        <v>20</v>
      </c>
      <c r="H343" t="s">
        <v>872</v>
      </c>
      <c r="I343" t="s">
        <v>80</v>
      </c>
      <c r="J343">
        <v>46</v>
      </c>
      <c r="K343" t="s">
        <v>31</v>
      </c>
      <c r="L343" t="s">
        <v>53</v>
      </c>
      <c r="M343" s="1">
        <v>44598</v>
      </c>
      <c r="N343" t="s">
        <v>33</v>
      </c>
      <c r="O343" t="s">
        <v>103</v>
      </c>
      <c r="P343" t="s">
        <v>94</v>
      </c>
      <c r="Q343" t="s">
        <v>46</v>
      </c>
      <c r="R343">
        <v>4398.43</v>
      </c>
      <c r="S343">
        <v>6683.28</v>
      </c>
      <c r="T343">
        <v>152</v>
      </c>
      <c r="U343">
        <v>2852.42</v>
      </c>
      <c r="V343">
        <v>527.57000000000005</v>
      </c>
      <c r="W343">
        <v>2324.85</v>
      </c>
      <c r="X343">
        <v>542.48</v>
      </c>
      <c r="Y343" t="s">
        <v>56</v>
      </c>
      <c r="Z343">
        <v>40099.68</v>
      </c>
      <c r="AA343">
        <v>13709.099999999997</v>
      </c>
    </row>
    <row r="344" spans="1:27" x14ac:dyDescent="0.3">
      <c r="A344" t="s">
        <v>873</v>
      </c>
      <c r="B344" s="1">
        <v>45182</v>
      </c>
      <c r="C344" t="s">
        <v>518</v>
      </c>
      <c r="D344" t="s">
        <v>63</v>
      </c>
      <c r="E344">
        <v>5</v>
      </c>
      <c r="F344" t="s">
        <v>51</v>
      </c>
      <c r="G344">
        <v>19</v>
      </c>
      <c r="H344" t="s">
        <v>519</v>
      </c>
      <c r="I344" t="s">
        <v>30</v>
      </c>
      <c r="J344">
        <v>42</v>
      </c>
      <c r="K344" t="s">
        <v>155</v>
      </c>
      <c r="L344" t="s">
        <v>66</v>
      </c>
      <c r="M344" s="1">
        <v>44880</v>
      </c>
      <c r="N344" t="s">
        <v>54</v>
      </c>
      <c r="O344" t="s">
        <v>67</v>
      </c>
      <c r="P344" t="s">
        <v>68</v>
      </c>
      <c r="Q344" t="s">
        <v>46</v>
      </c>
      <c r="R344">
        <v>2961.83</v>
      </c>
      <c r="S344">
        <v>4189.8100000000004</v>
      </c>
      <c r="T344">
        <v>165</v>
      </c>
      <c r="U344">
        <v>11669.48</v>
      </c>
      <c r="V344">
        <v>2187.85</v>
      </c>
      <c r="W344">
        <v>9481.6299999999992</v>
      </c>
      <c r="X344">
        <v>685.4</v>
      </c>
      <c r="Y344" t="s">
        <v>56</v>
      </c>
      <c r="Z344">
        <v>20949.050000000003</v>
      </c>
      <c r="AA344">
        <v>6139.9000000000024</v>
      </c>
    </row>
    <row r="345" spans="1:27" x14ac:dyDescent="0.3">
      <c r="A345" t="s">
        <v>874</v>
      </c>
      <c r="B345" s="1">
        <v>44929</v>
      </c>
      <c r="C345" t="s">
        <v>309</v>
      </c>
      <c r="D345" t="s">
        <v>287</v>
      </c>
      <c r="E345">
        <v>2</v>
      </c>
      <c r="F345" t="s">
        <v>51</v>
      </c>
      <c r="G345">
        <v>12</v>
      </c>
      <c r="H345" t="s">
        <v>310</v>
      </c>
      <c r="I345" t="s">
        <v>80</v>
      </c>
      <c r="J345">
        <v>37</v>
      </c>
      <c r="K345" t="s">
        <v>60</v>
      </c>
      <c r="L345" t="s">
        <v>53</v>
      </c>
      <c r="M345" s="1">
        <v>45270</v>
      </c>
      <c r="N345" t="s">
        <v>44</v>
      </c>
      <c r="O345" t="s">
        <v>288</v>
      </c>
      <c r="P345" t="s">
        <v>68</v>
      </c>
      <c r="Q345" t="s">
        <v>46</v>
      </c>
      <c r="R345">
        <v>2345.7800000000002</v>
      </c>
      <c r="S345">
        <v>2891.96</v>
      </c>
      <c r="T345">
        <v>122</v>
      </c>
      <c r="U345">
        <v>9949.48</v>
      </c>
      <c r="V345">
        <v>926.02</v>
      </c>
      <c r="W345">
        <v>9023.4599999999991</v>
      </c>
      <c r="X345">
        <v>2908.58</v>
      </c>
      <c r="Y345" t="s">
        <v>83</v>
      </c>
      <c r="Z345">
        <v>5783.92</v>
      </c>
      <c r="AA345">
        <v>1092.3599999999997</v>
      </c>
    </row>
    <row r="346" spans="1:27" x14ac:dyDescent="0.3">
      <c r="A346" t="s">
        <v>875</v>
      </c>
      <c r="B346" s="1">
        <v>45117</v>
      </c>
      <c r="C346" t="s">
        <v>554</v>
      </c>
      <c r="D346" t="s">
        <v>428</v>
      </c>
      <c r="E346">
        <v>3</v>
      </c>
      <c r="F346" t="s">
        <v>51</v>
      </c>
      <c r="G346">
        <v>5</v>
      </c>
      <c r="H346" t="s">
        <v>555</v>
      </c>
      <c r="I346" t="s">
        <v>80</v>
      </c>
      <c r="J346">
        <v>33</v>
      </c>
      <c r="K346" t="s">
        <v>31</v>
      </c>
      <c r="L346" t="s">
        <v>108</v>
      </c>
      <c r="M346" s="1">
        <v>45546</v>
      </c>
      <c r="N346" t="s">
        <v>54</v>
      </c>
      <c r="O346" t="s">
        <v>429</v>
      </c>
      <c r="P346" t="s">
        <v>110</v>
      </c>
      <c r="Q346" t="s">
        <v>46</v>
      </c>
      <c r="R346">
        <v>929.24</v>
      </c>
      <c r="S346">
        <v>1350.29</v>
      </c>
      <c r="T346">
        <v>22</v>
      </c>
      <c r="U346">
        <v>18351.62</v>
      </c>
      <c r="V346">
        <v>1836.49</v>
      </c>
      <c r="W346">
        <v>16515.13</v>
      </c>
      <c r="X346">
        <v>4493.24</v>
      </c>
      <c r="Y346" t="s">
        <v>56</v>
      </c>
      <c r="Z346">
        <v>4050.87</v>
      </c>
      <c r="AA346">
        <v>1263.1499999999999</v>
      </c>
    </row>
    <row r="347" spans="1:27" x14ac:dyDescent="0.3">
      <c r="A347" t="s">
        <v>876</v>
      </c>
      <c r="B347" s="1">
        <v>45267</v>
      </c>
      <c r="C347" t="s">
        <v>696</v>
      </c>
      <c r="D347" t="s">
        <v>354</v>
      </c>
      <c r="E347">
        <v>2</v>
      </c>
      <c r="F347" t="s">
        <v>90</v>
      </c>
      <c r="G347">
        <v>18</v>
      </c>
      <c r="H347" t="s">
        <v>697</v>
      </c>
      <c r="I347" t="s">
        <v>30</v>
      </c>
      <c r="J347">
        <v>36</v>
      </c>
      <c r="K347" t="s">
        <v>65</v>
      </c>
      <c r="L347" t="s">
        <v>66</v>
      </c>
      <c r="M347" s="1">
        <v>44900</v>
      </c>
      <c r="N347" t="s">
        <v>54</v>
      </c>
      <c r="O347" t="s">
        <v>356</v>
      </c>
      <c r="P347" t="s">
        <v>68</v>
      </c>
      <c r="Q347" t="s">
        <v>120</v>
      </c>
      <c r="R347">
        <v>3959.29</v>
      </c>
      <c r="S347">
        <v>5340.73</v>
      </c>
      <c r="T347">
        <v>91</v>
      </c>
      <c r="U347">
        <v>16645.78</v>
      </c>
      <c r="V347">
        <v>2041.76</v>
      </c>
      <c r="W347">
        <v>14604.02</v>
      </c>
      <c r="X347">
        <v>630.54</v>
      </c>
      <c r="Y347" t="s">
        <v>56</v>
      </c>
      <c r="Z347">
        <v>10681.46</v>
      </c>
      <c r="AA347">
        <v>2762.8799999999992</v>
      </c>
    </row>
    <row r="348" spans="1:27" x14ac:dyDescent="0.3">
      <c r="A348" t="s">
        <v>877</v>
      </c>
      <c r="B348" s="1">
        <v>45285</v>
      </c>
      <c r="C348" t="s">
        <v>878</v>
      </c>
      <c r="D348" t="s">
        <v>236</v>
      </c>
      <c r="E348">
        <v>4</v>
      </c>
      <c r="F348" t="s">
        <v>28</v>
      </c>
      <c r="G348">
        <v>3</v>
      </c>
      <c r="H348" t="s">
        <v>879</v>
      </c>
      <c r="I348" t="s">
        <v>80</v>
      </c>
      <c r="J348">
        <v>43</v>
      </c>
      <c r="K348" t="s">
        <v>155</v>
      </c>
      <c r="L348" t="s">
        <v>43</v>
      </c>
      <c r="M348" s="1">
        <v>45272</v>
      </c>
      <c r="N348" t="s">
        <v>33</v>
      </c>
      <c r="O348" t="s">
        <v>238</v>
      </c>
      <c r="P348" t="s">
        <v>68</v>
      </c>
      <c r="Q348" t="s">
        <v>120</v>
      </c>
      <c r="R348">
        <v>3957.37</v>
      </c>
      <c r="S348">
        <v>5045.3500000000004</v>
      </c>
      <c r="T348">
        <v>227</v>
      </c>
      <c r="U348">
        <v>17123.98</v>
      </c>
      <c r="V348">
        <v>3027.16</v>
      </c>
      <c r="W348">
        <v>14096.82</v>
      </c>
      <c r="X348">
        <v>4303.63</v>
      </c>
      <c r="Y348" t="s">
        <v>83</v>
      </c>
      <c r="Z348">
        <v>20181.400000000001</v>
      </c>
      <c r="AA348">
        <v>4351.9200000000019</v>
      </c>
    </row>
    <row r="349" spans="1:27" x14ac:dyDescent="0.3">
      <c r="A349" t="s">
        <v>880</v>
      </c>
      <c r="B349" s="1">
        <v>44954</v>
      </c>
      <c r="C349" t="s">
        <v>306</v>
      </c>
      <c r="D349" t="s">
        <v>471</v>
      </c>
      <c r="E349">
        <v>1</v>
      </c>
      <c r="F349" t="s">
        <v>90</v>
      </c>
      <c r="G349">
        <v>19</v>
      </c>
      <c r="H349" t="s">
        <v>307</v>
      </c>
      <c r="I349" t="s">
        <v>30</v>
      </c>
      <c r="J349">
        <v>23</v>
      </c>
      <c r="K349" t="s">
        <v>42</v>
      </c>
      <c r="L349" t="s">
        <v>32</v>
      </c>
      <c r="M349" s="1">
        <v>45214</v>
      </c>
      <c r="N349" t="s">
        <v>54</v>
      </c>
      <c r="O349" t="s">
        <v>473</v>
      </c>
      <c r="P349" t="s">
        <v>68</v>
      </c>
      <c r="Q349" t="s">
        <v>120</v>
      </c>
      <c r="R349">
        <v>1492.62</v>
      </c>
      <c r="S349">
        <v>2285.1999999999998</v>
      </c>
      <c r="T349">
        <v>106</v>
      </c>
      <c r="U349">
        <v>2146.3200000000002</v>
      </c>
      <c r="V349">
        <v>327.04000000000002</v>
      </c>
      <c r="W349">
        <v>1819.28</v>
      </c>
      <c r="X349">
        <v>2513.0700000000002</v>
      </c>
      <c r="Y349" t="s">
        <v>37</v>
      </c>
      <c r="Z349">
        <v>2285.1999999999998</v>
      </c>
      <c r="AA349">
        <v>792.57999999999993</v>
      </c>
    </row>
    <row r="350" spans="1:27" x14ac:dyDescent="0.3">
      <c r="A350" t="s">
        <v>881</v>
      </c>
      <c r="B350" s="1">
        <v>44965</v>
      </c>
      <c r="C350" t="s">
        <v>882</v>
      </c>
      <c r="D350" t="s">
        <v>650</v>
      </c>
      <c r="E350">
        <v>6</v>
      </c>
      <c r="F350" t="s">
        <v>28</v>
      </c>
      <c r="G350">
        <v>10</v>
      </c>
      <c r="H350" t="s">
        <v>883</v>
      </c>
      <c r="I350" t="s">
        <v>30</v>
      </c>
      <c r="J350">
        <v>42</v>
      </c>
      <c r="K350" t="s">
        <v>31</v>
      </c>
      <c r="L350" t="s">
        <v>81</v>
      </c>
      <c r="M350" s="1">
        <v>44861</v>
      </c>
      <c r="N350" t="s">
        <v>44</v>
      </c>
      <c r="O350" t="s">
        <v>652</v>
      </c>
      <c r="P350" t="s">
        <v>110</v>
      </c>
      <c r="Q350" t="s">
        <v>46</v>
      </c>
      <c r="R350">
        <v>4581.92</v>
      </c>
      <c r="S350">
        <v>5789.36</v>
      </c>
      <c r="T350">
        <v>140</v>
      </c>
      <c r="U350">
        <v>8734.9</v>
      </c>
      <c r="V350">
        <v>486.83</v>
      </c>
      <c r="W350">
        <v>8248.07</v>
      </c>
      <c r="X350">
        <v>4163.6000000000004</v>
      </c>
      <c r="Y350" t="s">
        <v>37</v>
      </c>
      <c r="Z350">
        <v>34736.159999999996</v>
      </c>
      <c r="AA350">
        <v>7244.6399999999976</v>
      </c>
    </row>
    <row r="351" spans="1:27" x14ac:dyDescent="0.3">
      <c r="A351" t="s">
        <v>884</v>
      </c>
      <c r="B351" s="1">
        <v>44977</v>
      </c>
      <c r="C351" t="s">
        <v>353</v>
      </c>
      <c r="D351" t="s">
        <v>122</v>
      </c>
      <c r="E351">
        <v>4</v>
      </c>
      <c r="F351" t="s">
        <v>51</v>
      </c>
      <c r="G351">
        <v>22</v>
      </c>
      <c r="H351" t="s">
        <v>355</v>
      </c>
      <c r="I351" t="s">
        <v>80</v>
      </c>
      <c r="J351">
        <v>28</v>
      </c>
      <c r="K351" t="s">
        <v>42</v>
      </c>
      <c r="L351" t="s">
        <v>43</v>
      </c>
      <c r="M351" s="1">
        <v>44997</v>
      </c>
      <c r="N351" t="s">
        <v>33</v>
      </c>
      <c r="O351" t="s">
        <v>123</v>
      </c>
      <c r="P351" t="s">
        <v>68</v>
      </c>
      <c r="Q351" t="s">
        <v>46</v>
      </c>
      <c r="R351">
        <v>1480.33</v>
      </c>
      <c r="S351">
        <v>1709.3</v>
      </c>
      <c r="T351">
        <v>229</v>
      </c>
      <c r="U351">
        <v>17317.13</v>
      </c>
      <c r="V351">
        <v>3091.78</v>
      </c>
      <c r="W351">
        <v>14225.35</v>
      </c>
      <c r="X351">
        <v>434.69</v>
      </c>
      <c r="Y351" t="s">
        <v>83</v>
      </c>
      <c r="Z351">
        <v>6837.2</v>
      </c>
      <c r="AA351">
        <v>915.88000000000011</v>
      </c>
    </row>
    <row r="352" spans="1:27" x14ac:dyDescent="0.3">
      <c r="A352" t="s">
        <v>885</v>
      </c>
      <c r="B352" s="1">
        <v>44947</v>
      </c>
      <c r="C352" t="s">
        <v>608</v>
      </c>
      <c r="D352" t="s">
        <v>89</v>
      </c>
      <c r="E352">
        <v>4</v>
      </c>
      <c r="F352" t="s">
        <v>51</v>
      </c>
      <c r="G352">
        <v>0</v>
      </c>
      <c r="H352" t="s">
        <v>609</v>
      </c>
      <c r="I352" t="s">
        <v>80</v>
      </c>
      <c r="J352">
        <v>38</v>
      </c>
      <c r="K352" t="s">
        <v>60</v>
      </c>
      <c r="L352" t="s">
        <v>53</v>
      </c>
      <c r="M352" s="1">
        <v>44660</v>
      </c>
      <c r="N352" t="s">
        <v>33</v>
      </c>
      <c r="O352" t="s">
        <v>93</v>
      </c>
      <c r="P352" t="s">
        <v>94</v>
      </c>
      <c r="Q352" t="s">
        <v>46</v>
      </c>
      <c r="R352">
        <v>1290.44</v>
      </c>
      <c r="S352">
        <v>1756.94</v>
      </c>
      <c r="T352">
        <v>226</v>
      </c>
      <c r="U352">
        <v>17772.16</v>
      </c>
      <c r="V352">
        <v>3704.08</v>
      </c>
      <c r="W352">
        <v>14068.08</v>
      </c>
      <c r="X352">
        <v>2405.35</v>
      </c>
      <c r="Y352" t="s">
        <v>37</v>
      </c>
      <c r="Z352">
        <v>7027.76</v>
      </c>
      <c r="AA352">
        <v>1866</v>
      </c>
    </row>
    <row r="353" spans="1:27" x14ac:dyDescent="0.3">
      <c r="A353" t="s">
        <v>886</v>
      </c>
      <c r="B353" s="1">
        <v>45086</v>
      </c>
      <c r="C353" t="s">
        <v>887</v>
      </c>
      <c r="D353" t="s">
        <v>393</v>
      </c>
      <c r="E353">
        <v>4</v>
      </c>
      <c r="F353" t="s">
        <v>90</v>
      </c>
      <c r="G353">
        <v>1</v>
      </c>
      <c r="H353" t="s">
        <v>888</v>
      </c>
      <c r="I353" t="s">
        <v>30</v>
      </c>
      <c r="J353">
        <v>41</v>
      </c>
      <c r="K353" t="s">
        <v>92</v>
      </c>
      <c r="L353" t="s">
        <v>53</v>
      </c>
      <c r="M353" s="1">
        <v>45514</v>
      </c>
      <c r="N353" t="s">
        <v>54</v>
      </c>
      <c r="O353" t="s">
        <v>395</v>
      </c>
      <c r="P353" t="s">
        <v>35</v>
      </c>
      <c r="Q353" t="s">
        <v>111</v>
      </c>
      <c r="R353">
        <v>4793.34</v>
      </c>
      <c r="S353">
        <v>7058.65</v>
      </c>
      <c r="T353">
        <v>107</v>
      </c>
      <c r="U353">
        <v>1455.57</v>
      </c>
      <c r="V353">
        <v>276.3</v>
      </c>
      <c r="W353">
        <v>1179.27</v>
      </c>
      <c r="X353">
        <v>4992.03</v>
      </c>
      <c r="Y353" t="s">
        <v>47</v>
      </c>
      <c r="Z353">
        <v>28234.6</v>
      </c>
      <c r="AA353">
        <v>9061.239999999998</v>
      </c>
    </row>
    <row r="354" spans="1:27" x14ac:dyDescent="0.3">
      <c r="A354" t="s">
        <v>889</v>
      </c>
      <c r="B354" s="1">
        <v>44999</v>
      </c>
      <c r="C354" t="s">
        <v>693</v>
      </c>
      <c r="D354" t="s">
        <v>510</v>
      </c>
      <c r="E354">
        <v>5</v>
      </c>
      <c r="F354" t="s">
        <v>90</v>
      </c>
      <c r="G354">
        <v>9</v>
      </c>
      <c r="H354" t="s">
        <v>694</v>
      </c>
      <c r="I354" t="s">
        <v>30</v>
      </c>
      <c r="J354">
        <v>47</v>
      </c>
      <c r="K354" t="s">
        <v>155</v>
      </c>
      <c r="L354" t="s">
        <v>108</v>
      </c>
      <c r="M354" s="1">
        <v>45417</v>
      </c>
      <c r="N354" t="s">
        <v>44</v>
      </c>
      <c r="O354" t="s">
        <v>512</v>
      </c>
      <c r="P354" t="s">
        <v>110</v>
      </c>
      <c r="Q354" t="s">
        <v>36</v>
      </c>
      <c r="R354">
        <v>952.01</v>
      </c>
      <c r="S354">
        <v>1107.5</v>
      </c>
      <c r="T354">
        <v>162</v>
      </c>
      <c r="U354">
        <v>731.39</v>
      </c>
      <c r="V354">
        <v>5.52</v>
      </c>
      <c r="W354">
        <v>725.87</v>
      </c>
      <c r="X354">
        <v>443.75</v>
      </c>
      <c r="Y354" t="s">
        <v>47</v>
      </c>
      <c r="Z354">
        <v>5537.5</v>
      </c>
      <c r="AA354">
        <v>777.45</v>
      </c>
    </row>
    <row r="355" spans="1:27" x14ac:dyDescent="0.3">
      <c r="A355" t="s">
        <v>890</v>
      </c>
      <c r="B355" s="1">
        <v>45175</v>
      </c>
      <c r="C355" t="s">
        <v>749</v>
      </c>
      <c r="D355" t="s">
        <v>89</v>
      </c>
      <c r="E355">
        <v>3</v>
      </c>
      <c r="F355" t="s">
        <v>51</v>
      </c>
      <c r="G355">
        <v>16</v>
      </c>
      <c r="H355" t="s">
        <v>750</v>
      </c>
      <c r="I355" t="s">
        <v>30</v>
      </c>
      <c r="J355">
        <v>37</v>
      </c>
      <c r="K355" t="s">
        <v>155</v>
      </c>
      <c r="L355" t="s">
        <v>32</v>
      </c>
      <c r="M355" s="1">
        <v>45308</v>
      </c>
      <c r="N355" t="s">
        <v>33</v>
      </c>
      <c r="O355" t="s">
        <v>93</v>
      </c>
      <c r="P355" t="s">
        <v>94</v>
      </c>
      <c r="Q355" t="s">
        <v>46</v>
      </c>
      <c r="R355">
        <v>1290.44</v>
      </c>
      <c r="S355">
        <v>1756.94</v>
      </c>
      <c r="T355">
        <v>226</v>
      </c>
      <c r="U355">
        <v>948.11</v>
      </c>
      <c r="V355">
        <v>195.9</v>
      </c>
      <c r="W355">
        <v>752.21</v>
      </c>
      <c r="X355">
        <v>1226.99</v>
      </c>
      <c r="Y355" t="s">
        <v>56</v>
      </c>
      <c r="Z355">
        <v>5270.82</v>
      </c>
      <c r="AA355">
        <v>1399.5</v>
      </c>
    </row>
    <row r="356" spans="1:27" x14ac:dyDescent="0.3">
      <c r="A356" t="s">
        <v>891</v>
      </c>
      <c r="B356" s="1">
        <v>45206</v>
      </c>
      <c r="C356" t="s">
        <v>892</v>
      </c>
      <c r="D356" t="s">
        <v>322</v>
      </c>
      <c r="E356">
        <v>5</v>
      </c>
      <c r="F356" t="s">
        <v>78</v>
      </c>
      <c r="G356">
        <v>21</v>
      </c>
      <c r="H356" t="s">
        <v>893</v>
      </c>
      <c r="I356" t="s">
        <v>30</v>
      </c>
      <c r="J356">
        <v>58</v>
      </c>
      <c r="K356" t="s">
        <v>73</v>
      </c>
      <c r="L356" t="s">
        <v>43</v>
      </c>
      <c r="M356" s="1">
        <v>44640</v>
      </c>
      <c r="N356" t="s">
        <v>44</v>
      </c>
      <c r="O356" t="s">
        <v>324</v>
      </c>
      <c r="P356" t="s">
        <v>35</v>
      </c>
      <c r="Q356" t="s">
        <v>111</v>
      </c>
      <c r="R356">
        <v>3696.72</v>
      </c>
      <c r="S356">
        <v>4397.13</v>
      </c>
      <c r="T356">
        <v>92</v>
      </c>
      <c r="U356">
        <v>14365.14</v>
      </c>
      <c r="V356">
        <v>1990.1</v>
      </c>
      <c r="W356">
        <v>12375.04</v>
      </c>
      <c r="X356">
        <v>3903.56</v>
      </c>
      <c r="Y356" t="s">
        <v>37</v>
      </c>
      <c r="Z356">
        <v>21985.65</v>
      </c>
      <c r="AA356">
        <v>3502.0500000000015</v>
      </c>
    </row>
    <row r="357" spans="1:27" x14ac:dyDescent="0.3">
      <c r="A357" t="s">
        <v>894</v>
      </c>
      <c r="B357" s="1">
        <v>45140</v>
      </c>
      <c r="C357" t="s">
        <v>633</v>
      </c>
      <c r="D357" t="s">
        <v>71</v>
      </c>
      <c r="E357">
        <v>6</v>
      </c>
      <c r="F357" t="s">
        <v>90</v>
      </c>
      <c r="G357">
        <v>23</v>
      </c>
      <c r="H357" t="s">
        <v>634</v>
      </c>
      <c r="I357" t="s">
        <v>80</v>
      </c>
      <c r="J357">
        <v>60</v>
      </c>
      <c r="K357" t="s">
        <v>53</v>
      </c>
      <c r="L357" t="s">
        <v>43</v>
      </c>
      <c r="M357" s="1">
        <v>45017</v>
      </c>
      <c r="N357" t="s">
        <v>54</v>
      </c>
      <c r="O357" t="s">
        <v>74</v>
      </c>
      <c r="P357" t="s">
        <v>35</v>
      </c>
      <c r="Q357" t="s">
        <v>36</v>
      </c>
      <c r="R357">
        <v>3231.26</v>
      </c>
      <c r="S357">
        <v>4308.05</v>
      </c>
      <c r="T357">
        <v>21</v>
      </c>
      <c r="U357">
        <v>5104.28</v>
      </c>
      <c r="V357">
        <v>1086.47</v>
      </c>
      <c r="W357">
        <v>4017.81</v>
      </c>
      <c r="X357">
        <v>3337.91</v>
      </c>
      <c r="Y357" t="s">
        <v>47</v>
      </c>
      <c r="Z357">
        <v>25848.300000000003</v>
      </c>
      <c r="AA357">
        <v>6460.74</v>
      </c>
    </row>
    <row r="358" spans="1:27" x14ac:dyDescent="0.3">
      <c r="A358" t="s">
        <v>895</v>
      </c>
      <c r="B358" s="1">
        <v>45093</v>
      </c>
      <c r="C358" t="s">
        <v>759</v>
      </c>
      <c r="D358" t="s">
        <v>471</v>
      </c>
      <c r="E358">
        <v>6</v>
      </c>
      <c r="F358" t="s">
        <v>90</v>
      </c>
      <c r="G358">
        <v>12</v>
      </c>
      <c r="H358" t="s">
        <v>760</v>
      </c>
      <c r="I358" t="s">
        <v>80</v>
      </c>
      <c r="J358">
        <v>41</v>
      </c>
      <c r="K358" t="s">
        <v>155</v>
      </c>
      <c r="L358" t="s">
        <v>53</v>
      </c>
      <c r="M358" s="1">
        <v>44752</v>
      </c>
      <c r="N358" t="s">
        <v>54</v>
      </c>
      <c r="O358" t="s">
        <v>473</v>
      </c>
      <c r="P358" t="s">
        <v>68</v>
      </c>
      <c r="Q358" t="s">
        <v>120</v>
      </c>
      <c r="R358">
        <v>1492.62</v>
      </c>
      <c r="S358">
        <v>2285.1999999999998</v>
      </c>
      <c r="T358">
        <v>106</v>
      </c>
      <c r="U358">
        <v>16648.28</v>
      </c>
      <c r="V358">
        <v>3366.93</v>
      </c>
      <c r="W358">
        <v>13281.35</v>
      </c>
      <c r="X358">
        <v>4039.8</v>
      </c>
      <c r="Y358" t="s">
        <v>83</v>
      </c>
      <c r="Z358">
        <v>13711.199999999999</v>
      </c>
      <c r="AA358">
        <v>4755.4799999999996</v>
      </c>
    </row>
    <row r="359" spans="1:27" x14ac:dyDescent="0.3">
      <c r="A359" t="s">
        <v>896</v>
      </c>
      <c r="B359" s="1">
        <v>45083</v>
      </c>
      <c r="C359" t="s">
        <v>693</v>
      </c>
      <c r="D359" t="s">
        <v>89</v>
      </c>
      <c r="E359">
        <v>1</v>
      </c>
      <c r="F359" t="s">
        <v>90</v>
      </c>
      <c r="G359">
        <v>12</v>
      </c>
      <c r="H359" t="s">
        <v>694</v>
      </c>
      <c r="I359" t="s">
        <v>30</v>
      </c>
      <c r="J359">
        <v>47</v>
      </c>
      <c r="K359" t="s">
        <v>155</v>
      </c>
      <c r="L359" t="s">
        <v>108</v>
      </c>
      <c r="M359" s="1">
        <v>45417</v>
      </c>
      <c r="N359" t="s">
        <v>44</v>
      </c>
      <c r="O359" t="s">
        <v>93</v>
      </c>
      <c r="P359" t="s">
        <v>94</v>
      </c>
      <c r="Q359" t="s">
        <v>46</v>
      </c>
      <c r="R359">
        <v>1290.44</v>
      </c>
      <c r="S359">
        <v>1756.94</v>
      </c>
      <c r="T359">
        <v>226</v>
      </c>
      <c r="U359">
        <v>18450.18</v>
      </c>
      <c r="V359">
        <v>2088.39</v>
      </c>
      <c r="W359">
        <v>16361.79</v>
      </c>
      <c r="X359">
        <v>2667.61</v>
      </c>
      <c r="Y359" t="s">
        <v>83</v>
      </c>
      <c r="Z359">
        <v>1756.94</v>
      </c>
      <c r="AA359">
        <v>466.5</v>
      </c>
    </row>
    <row r="360" spans="1:27" x14ac:dyDescent="0.3">
      <c r="A360" t="s">
        <v>897</v>
      </c>
      <c r="B360" s="1">
        <v>44980</v>
      </c>
      <c r="C360" t="s">
        <v>887</v>
      </c>
      <c r="D360" t="s">
        <v>420</v>
      </c>
      <c r="E360">
        <v>4</v>
      </c>
      <c r="F360" t="s">
        <v>51</v>
      </c>
      <c r="G360">
        <v>22</v>
      </c>
      <c r="H360" t="s">
        <v>888</v>
      </c>
      <c r="I360" t="s">
        <v>30</v>
      </c>
      <c r="J360">
        <v>41</v>
      </c>
      <c r="K360" t="s">
        <v>92</v>
      </c>
      <c r="L360" t="s">
        <v>53</v>
      </c>
      <c r="M360" s="1">
        <v>45514</v>
      </c>
      <c r="N360" t="s">
        <v>54</v>
      </c>
      <c r="O360" t="s">
        <v>422</v>
      </c>
      <c r="P360" t="s">
        <v>110</v>
      </c>
      <c r="Q360" t="s">
        <v>46</v>
      </c>
      <c r="R360">
        <v>2369.11</v>
      </c>
      <c r="S360">
        <v>2775.74</v>
      </c>
      <c r="T360">
        <v>21</v>
      </c>
      <c r="U360">
        <v>18361.88</v>
      </c>
      <c r="V360">
        <v>2847.06</v>
      </c>
      <c r="W360">
        <v>15514.82</v>
      </c>
      <c r="X360">
        <v>349.69</v>
      </c>
      <c r="Y360" t="s">
        <v>47</v>
      </c>
      <c r="Z360">
        <v>11102.96</v>
      </c>
      <c r="AA360">
        <v>1626.5199999999986</v>
      </c>
    </row>
    <row r="361" spans="1:27" x14ac:dyDescent="0.3">
      <c r="A361" t="s">
        <v>898</v>
      </c>
      <c r="B361" s="1">
        <v>45086</v>
      </c>
      <c r="C361" t="s">
        <v>864</v>
      </c>
      <c r="D361" t="s">
        <v>393</v>
      </c>
      <c r="E361">
        <v>1</v>
      </c>
      <c r="F361" t="s">
        <v>90</v>
      </c>
      <c r="G361">
        <v>23</v>
      </c>
      <c r="H361" t="s">
        <v>865</v>
      </c>
      <c r="I361" t="s">
        <v>80</v>
      </c>
      <c r="J361">
        <v>38</v>
      </c>
      <c r="K361" t="s">
        <v>65</v>
      </c>
      <c r="L361" t="s">
        <v>81</v>
      </c>
      <c r="M361" s="1">
        <v>44677</v>
      </c>
      <c r="N361" t="s">
        <v>33</v>
      </c>
      <c r="O361" t="s">
        <v>395</v>
      </c>
      <c r="P361" t="s">
        <v>35</v>
      </c>
      <c r="Q361" t="s">
        <v>111</v>
      </c>
      <c r="R361">
        <v>4793.34</v>
      </c>
      <c r="S361">
        <v>7058.65</v>
      </c>
      <c r="T361">
        <v>107</v>
      </c>
      <c r="U361">
        <v>12827.24</v>
      </c>
      <c r="V361">
        <v>1470.53</v>
      </c>
      <c r="W361">
        <v>11356.71</v>
      </c>
      <c r="X361">
        <v>1600.53</v>
      </c>
      <c r="Y361" t="s">
        <v>83</v>
      </c>
      <c r="Z361">
        <v>7058.65</v>
      </c>
      <c r="AA361">
        <v>2265.3099999999995</v>
      </c>
    </row>
    <row r="362" spans="1:27" x14ac:dyDescent="0.3">
      <c r="A362" t="s">
        <v>899</v>
      </c>
      <c r="B362" s="1">
        <v>45191</v>
      </c>
      <c r="C362" t="s">
        <v>187</v>
      </c>
      <c r="D362" t="s">
        <v>428</v>
      </c>
      <c r="E362">
        <v>1</v>
      </c>
      <c r="F362" t="s">
        <v>78</v>
      </c>
      <c r="G362">
        <v>17</v>
      </c>
      <c r="H362" t="s">
        <v>188</v>
      </c>
      <c r="I362" t="s">
        <v>80</v>
      </c>
      <c r="J362">
        <v>35</v>
      </c>
      <c r="K362" t="s">
        <v>60</v>
      </c>
      <c r="L362" t="s">
        <v>53</v>
      </c>
      <c r="M362" s="1">
        <v>45052</v>
      </c>
      <c r="N362" t="s">
        <v>44</v>
      </c>
      <c r="O362" t="s">
        <v>429</v>
      </c>
      <c r="P362" t="s">
        <v>110</v>
      </c>
      <c r="Q362" t="s">
        <v>46</v>
      </c>
      <c r="R362">
        <v>929.24</v>
      </c>
      <c r="S362">
        <v>1350.29</v>
      </c>
      <c r="T362">
        <v>22</v>
      </c>
      <c r="U362">
        <v>9833.33</v>
      </c>
      <c r="V362">
        <v>861</v>
      </c>
      <c r="W362">
        <v>8972.33</v>
      </c>
      <c r="X362">
        <v>1543.99</v>
      </c>
      <c r="Y362" t="s">
        <v>83</v>
      </c>
      <c r="Z362">
        <v>1350.29</v>
      </c>
      <c r="AA362">
        <v>421.04999999999995</v>
      </c>
    </row>
    <row r="363" spans="1:27" x14ac:dyDescent="0.3">
      <c r="A363" t="s">
        <v>900</v>
      </c>
      <c r="B363" s="1">
        <v>45233</v>
      </c>
      <c r="C363" t="s">
        <v>588</v>
      </c>
      <c r="D363" t="s">
        <v>408</v>
      </c>
      <c r="E363">
        <v>3</v>
      </c>
      <c r="F363" t="s">
        <v>51</v>
      </c>
      <c r="G363">
        <v>7</v>
      </c>
      <c r="H363" t="s">
        <v>589</v>
      </c>
      <c r="I363" t="s">
        <v>30</v>
      </c>
      <c r="J363">
        <v>27</v>
      </c>
      <c r="K363" t="s">
        <v>42</v>
      </c>
      <c r="L363" t="s">
        <v>43</v>
      </c>
      <c r="M363" s="1">
        <v>44991</v>
      </c>
      <c r="N363" t="s">
        <v>33</v>
      </c>
      <c r="O363" t="s">
        <v>410</v>
      </c>
      <c r="P363" t="s">
        <v>68</v>
      </c>
      <c r="Q363" t="s">
        <v>46</v>
      </c>
      <c r="R363">
        <v>2025.88</v>
      </c>
      <c r="S363">
        <v>2513.29</v>
      </c>
      <c r="T363">
        <v>67</v>
      </c>
      <c r="U363">
        <v>5171.6099999999997</v>
      </c>
      <c r="V363">
        <v>316.02</v>
      </c>
      <c r="W363">
        <v>4855.59</v>
      </c>
      <c r="X363">
        <v>4026.96</v>
      </c>
      <c r="Y363" t="s">
        <v>47</v>
      </c>
      <c r="Z363">
        <v>7539.87</v>
      </c>
      <c r="AA363">
        <v>1462.2299999999996</v>
      </c>
    </row>
    <row r="364" spans="1:27" x14ac:dyDescent="0.3">
      <c r="A364" t="s">
        <v>901</v>
      </c>
      <c r="B364" s="1">
        <v>45033</v>
      </c>
      <c r="C364" t="s">
        <v>240</v>
      </c>
      <c r="D364" t="s">
        <v>393</v>
      </c>
      <c r="E364">
        <v>6</v>
      </c>
      <c r="F364" t="s">
        <v>51</v>
      </c>
      <c r="G364">
        <v>2</v>
      </c>
      <c r="H364" t="s">
        <v>241</v>
      </c>
      <c r="I364" t="s">
        <v>30</v>
      </c>
      <c r="J364">
        <v>22</v>
      </c>
      <c r="K364" t="s">
        <v>155</v>
      </c>
      <c r="L364" t="s">
        <v>108</v>
      </c>
      <c r="M364" s="1">
        <v>45190</v>
      </c>
      <c r="N364" t="s">
        <v>33</v>
      </c>
      <c r="O364" t="s">
        <v>395</v>
      </c>
      <c r="P364" t="s">
        <v>35</v>
      </c>
      <c r="Q364" t="s">
        <v>111</v>
      </c>
      <c r="R364">
        <v>4793.34</v>
      </c>
      <c r="S364">
        <v>7058.65</v>
      </c>
      <c r="T364">
        <v>107</v>
      </c>
      <c r="U364">
        <v>7759.32</v>
      </c>
      <c r="V364">
        <v>1514.28</v>
      </c>
      <c r="W364">
        <v>6245.04</v>
      </c>
      <c r="X364">
        <v>712.79</v>
      </c>
      <c r="Y364" t="s">
        <v>83</v>
      </c>
      <c r="Z364">
        <v>42351.899999999994</v>
      </c>
      <c r="AA364">
        <v>13591.859999999997</v>
      </c>
    </row>
    <row r="365" spans="1:27" x14ac:dyDescent="0.3">
      <c r="A365" t="s">
        <v>902</v>
      </c>
      <c r="B365" s="1">
        <v>45190</v>
      </c>
      <c r="C365" t="s">
        <v>649</v>
      </c>
      <c r="D365" t="s">
        <v>98</v>
      </c>
      <c r="E365">
        <v>4</v>
      </c>
      <c r="F365" t="s">
        <v>78</v>
      </c>
      <c r="G365">
        <v>24</v>
      </c>
      <c r="H365" t="s">
        <v>651</v>
      </c>
      <c r="I365" t="s">
        <v>80</v>
      </c>
      <c r="J365">
        <v>21</v>
      </c>
      <c r="K365" t="s">
        <v>92</v>
      </c>
      <c r="L365" t="s">
        <v>81</v>
      </c>
      <c r="M365" s="1">
        <v>45497</v>
      </c>
      <c r="N365" t="s">
        <v>33</v>
      </c>
      <c r="O365" t="s">
        <v>100</v>
      </c>
      <c r="P365" t="s">
        <v>94</v>
      </c>
      <c r="Q365" t="s">
        <v>36</v>
      </c>
      <c r="R365">
        <v>4225.4799999999996</v>
      </c>
      <c r="S365">
        <v>6100.15</v>
      </c>
      <c r="T365">
        <v>279</v>
      </c>
      <c r="U365">
        <v>17063.09</v>
      </c>
      <c r="V365">
        <v>2034.31</v>
      </c>
      <c r="W365">
        <v>15028.78</v>
      </c>
      <c r="X365">
        <v>650.72</v>
      </c>
      <c r="Y365" t="s">
        <v>37</v>
      </c>
      <c r="Z365">
        <v>24400.6</v>
      </c>
      <c r="AA365">
        <v>7498.68</v>
      </c>
    </row>
    <row r="366" spans="1:27" x14ac:dyDescent="0.3">
      <c r="A366" t="s">
        <v>903</v>
      </c>
      <c r="B366" s="1">
        <v>44943</v>
      </c>
      <c r="C366" t="s">
        <v>332</v>
      </c>
      <c r="D366" t="s">
        <v>230</v>
      </c>
      <c r="E366">
        <v>5</v>
      </c>
      <c r="F366" t="s">
        <v>28</v>
      </c>
      <c r="G366">
        <v>14</v>
      </c>
      <c r="H366" t="s">
        <v>333</v>
      </c>
      <c r="I366" t="s">
        <v>30</v>
      </c>
      <c r="J366">
        <v>20</v>
      </c>
      <c r="K366" t="s">
        <v>92</v>
      </c>
      <c r="L366" t="s">
        <v>32</v>
      </c>
      <c r="M366" s="1">
        <v>44792</v>
      </c>
      <c r="N366" t="s">
        <v>54</v>
      </c>
      <c r="O366" t="s">
        <v>232</v>
      </c>
      <c r="P366" t="s">
        <v>110</v>
      </c>
      <c r="Q366" t="s">
        <v>46</v>
      </c>
      <c r="R366">
        <v>4570.75</v>
      </c>
      <c r="S366">
        <v>5891.26</v>
      </c>
      <c r="T366">
        <v>285</v>
      </c>
      <c r="U366">
        <v>18171.27</v>
      </c>
      <c r="V366">
        <v>4489.4799999999996</v>
      </c>
      <c r="W366">
        <v>13681.79</v>
      </c>
      <c r="X366">
        <v>990.1</v>
      </c>
      <c r="Y366" t="s">
        <v>56</v>
      </c>
      <c r="Z366">
        <v>29456.300000000003</v>
      </c>
      <c r="AA366">
        <v>6602.5500000000011</v>
      </c>
    </row>
    <row r="367" spans="1:27" x14ac:dyDescent="0.3">
      <c r="A367" t="s">
        <v>904</v>
      </c>
      <c r="B367" s="1">
        <v>45284</v>
      </c>
      <c r="C367" t="s">
        <v>492</v>
      </c>
      <c r="D367" t="s">
        <v>679</v>
      </c>
      <c r="E367">
        <v>3</v>
      </c>
      <c r="F367" t="s">
        <v>90</v>
      </c>
      <c r="G367">
        <v>5</v>
      </c>
      <c r="H367" t="s">
        <v>493</v>
      </c>
      <c r="I367" t="s">
        <v>30</v>
      </c>
      <c r="J367">
        <v>44</v>
      </c>
      <c r="K367" t="s">
        <v>60</v>
      </c>
      <c r="L367" t="s">
        <v>53</v>
      </c>
      <c r="M367" s="1">
        <v>44792</v>
      </c>
      <c r="N367" t="s">
        <v>54</v>
      </c>
      <c r="O367" t="s">
        <v>681</v>
      </c>
      <c r="P367" t="s">
        <v>35</v>
      </c>
      <c r="Q367" t="s">
        <v>46</v>
      </c>
      <c r="R367">
        <v>2024.37</v>
      </c>
      <c r="S367">
        <v>2982.78</v>
      </c>
      <c r="T367">
        <v>11</v>
      </c>
      <c r="U367">
        <v>6789.06</v>
      </c>
      <c r="V367">
        <v>411.34</v>
      </c>
      <c r="W367">
        <v>6377.72</v>
      </c>
      <c r="X367">
        <v>2708.19</v>
      </c>
      <c r="Y367" t="s">
        <v>83</v>
      </c>
      <c r="Z367">
        <v>8948.34</v>
      </c>
      <c r="AA367">
        <v>2875.2300000000009</v>
      </c>
    </row>
    <row r="368" spans="1:27" x14ac:dyDescent="0.3">
      <c r="A368" t="s">
        <v>905</v>
      </c>
      <c r="B368" s="1">
        <v>45160</v>
      </c>
      <c r="C368" t="s">
        <v>365</v>
      </c>
      <c r="D368" t="s">
        <v>226</v>
      </c>
      <c r="E368">
        <v>1</v>
      </c>
      <c r="F368" t="s">
        <v>90</v>
      </c>
      <c r="G368">
        <v>0</v>
      </c>
      <c r="H368" t="s">
        <v>366</v>
      </c>
      <c r="I368" t="s">
        <v>80</v>
      </c>
      <c r="J368">
        <v>50</v>
      </c>
      <c r="K368" t="s">
        <v>65</v>
      </c>
      <c r="L368" t="s">
        <v>66</v>
      </c>
      <c r="M368" s="1">
        <v>45739</v>
      </c>
      <c r="N368" t="s">
        <v>44</v>
      </c>
      <c r="O368" t="s">
        <v>227</v>
      </c>
      <c r="P368" t="s">
        <v>35</v>
      </c>
      <c r="Q368" t="s">
        <v>111</v>
      </c>
      <c r="R368">
        <v>762.02</v>
      </c>
      <c r="S368">
        <v>1161.9100000000001</v>
      </c>
      <c r="T368">
        <v>293</v>
      </c>
      <c r="U368">
        <v>9330.93</v>
      </c>
      <c r="V368">
        <v>1255.94</v>
      </c>
      <c r="W368">
        <v>8074.99</v>
      </c>
      <c r="X368">
        <v>3219.97</v>
      </c>
      <c r="Y368" t="s">
        <v>83</v>
      </c>
      <c r="Z368">
        <v>1161.9100000000001</v>
      </c>
      <c r="AA368">
        <v>399.8900000000001</v>
      </c>
    </row>
    <row r="369" spans="1:27" x14ac:dyDescent="0.3">
      <c r="A369" t="s">
        <v>906</v>
      </c>
      <c r="B369" s="1">
        <v>45033</v>
      </c>
      <c r="C369" t="s">
        <v>196</v>
      </c>
      <c r="D369" t="s">
        <v>329</v>
      </c>
      <c r="E369">
        <v>4</v>
      </c>
      <c r="F369" t="s">
        <v>78</v>
      </c>
      <c r="G369">
        <v>23</v>
      </c>
      <c r="H369" t="s">
        <v>198</v>
      </c>
      <c r="I369" t="s">
        <v>30</v>
      </c>
      <c r="J369">
        <v>37</v>
      </c>
      <c r="K369" t="s">
        <v>65</v>
      </c>
      <c r="L369" t="s">
        <v>53</v>
      </c>
      <c r="M369" s="1">
        <v>45436</v>
      </c>
      <c r="N369" t="s">
        <v>33</v>
      </c>
      <c r="O369" t="s">
        <v>330</v>
      </c>
      <c r="P369" t="s">
        <v>94</v>
      </c>
      <c r="Q369" t="s">
        <v>46</v>
      </c>
      <c r="R369">
        <v>3358.26</v>
      </c>
      <c r="S369">
        <v>4345.1099999999997</v>
      </c>
      <c r="T369">
        <v>179</v>
      </c>
      <c r="U369">
        <v>11477.94</v>
      </c>
      <c r="V369">
        <v>2501.91</v>
      </c>
      <c r="W369">
        <v>8976.0300000000007</v>
      </c>
      <c r="X369">
        <v>1153.58</v>
      </c>
      <c r="Y369" t="s">
        <v>47</v>
      </c>
      <c r="Z369">
        <v>17380.439999999999</v>
      </c>
      <c r="AA369">
        <v>3947.3999999999978</v>
      </c>
    </row>
    <row r="370" spans="1:27" x14ac:dyDescent="0.3">
      <c r="A370" t="s">
        <v>907</v>
      </c>
      <c r="B370" s="1">
        <v>45256</v>
      </c>
      <c r="C370" t="s">
        <v>636</v>
      </c>
      <c r="D370" t="s">
        <v>117</v>
      </c>
      <c r="E370">
        <v>6</v>
      </c>
      <c r="F370" t="s">
        <v>90</v>
      </c>
      <c r="G370">
        <v>2</v>
      </c>
      <c r="H370" t="s">
        <v>637</v>
      </c>
      <c r="I370" t="s">
        <v>30</v>
      </c>
      <c r="J370">
        <v>46</v>
      </c>
      <c r="K370" t="s">
        <v>155</v>
      </c>
      <c r="L370" t="s">
        <v>53</v>
      </c>
      <c r="M370" s="1">
        <v>44749</v>
      </c>
      <c r="N370" t="s">
        <v>44</v>
      </c>
      <c r="O370" t="s">
        <v>119</v>
      </c>
      <c r="P370" t="s">
        <v>110</v>
      </c>
      <c r="Q370" t="s">
        <v>120</v>
      </c>
      <c r="R370">
        <v>1390.81</v>
      </c>
      <c r="S370">
        <v>1874.61</v>
      </c>
      <c r="T370">
        <v>262</v>
      </c>
      <c r="U370">
        <v>12219</v>
      </c>
      <c r="V370">
        <v>1617.28</v>
      </c>
      <c r="W370">
        <v>10601.72</v>
      </c>
      <c r="X370">
        <v>4534.41</v>
      </c>
      <c r="Y370" t="s">
        <v>83</v>
      </c>
      <c r="Z370">
        <v>11247.66</v>
      </c>
      <c r="AA370">
        <v>2902.7999999999997</v>
      </c>
    </row>
    <row r="371" spans="1:27" x14ac:dyDescent="0.3">
      <c r="A371" t="s">
        <v>908</v>
      </c>
      <c r="B371" s="1">
        <v>45173</v>
      </c>
      <c r="C371" t="s">
        <v>149</v>
      </c>
      <c r="D371" t="s">
        <v>27</v>
      </c>
      <c r="E371">
        <v>5</v>
      </c>
      <c r="F371" t="s">
        <v>78</v>
      </c>
      <c r="G371">
        <v>5</v>
      </c>
      <c r="H371" t="s">
        <v>150</v>
      </c>
      <c r="I371" t="s">
        <v>30</v>
      </c>
      <c r="J371">
        <v>44</v>
      </c>
      <c r="K371" t="s">
        <v>73</v>
      </c>
      <c r="L371" t="s">
        <v>81</v>
      </c>
      <c r="M371" s="1">
        <v>44918</v>
      </c>
      <c r="N371" t="s">
        <v>33</v>
      </c>
      <c r="O371" t="s">
        <v>34</v>
      </c>
      <c r="P371" t="s">
        <v>35</v>
      </c>
      <c r="Q371" t="s">
        <v>36</v>
      </c>
      <c r="R371">
        <v>4318.8599999999997</v>
      </c>
      <c r="S371">
        <v>4880.6400000000003</v>
      </c>
      <c r="T371">
        <v>149</v>
      </c>
      <c r="U371">
        <v>10171.35</v>
      </c>
      <c r="V371">
        <v>792.01</v>
      </c>
      <c r="W371">
        <v>9379.34</v>
      </c>
      <c r="X371">
        <v>3242.62</v>
      </c>
      <c r="Y371" t="s">
        <v>37</v>
      </c>
      <c r="Z371">
        <v>24403.200000000001</v>
      </c>
      <c r="AA371">
        <v>2808.9000000000033</v>
      </c>
    </row>
    <row r="372" spans="1:27" x14ac:dyDescent="0.3">
      <c r="A372" t="s">
        <v>909</v>
      </c>
      <c r="B372" s="1">
        <v>44946</v>
      </c>
      <c r="C372" t="s">
        <v>878</v>
      </c>
      <c r="D372" t="s">
        <v>428</v>
      </c>
      <c r="E372">
        <v>2</v>
      </c>
      <c r="F372" t="s">
        <v>51</v>
      </c>
      <c r="G372">
        <v>20</v>
      </c>
      <c r="H372" t="s">
        <v>879</v>
      </c>
      <c r="I372" t="s">
        <v>80</v>
      </c>
      <c r="J372">
        <v>43</v>
      </c>
      <c r="K372" t="s">
        <v>155</v>
      </c>
      <c r="L372" t="s">
        <v>43</v>
      </c>
      <c r="M372" s="1">
        <v>45272</v>
      </c>
      <c r="N372" t="s">
        <v>33</v>
      </c>
      <c r="O372" t="s">
        <v>429</v>
      </c>
      <c r="P372" t="s">
        <v>110</v>
      </c>
      <c r="Q372" t="s">
        <v>46</v>
      </c>
      <c r="R372">
        <v>929.24</v>
      </c>
      <c r="S372">
        <v>1350.29</v>
      </c>
      <c r="T372">
        <v>22</v>
      </c>
      <c r="U372">
        <v>5689.48</v>
      </c>
      <c r="V372">
        <v>891.02</v>
      </c>
      <c r="W372">
        <v>4798.46</v>
      </c>
      <c r="X372">
        <v>2268.0300000000002</v>
      </c>
      <c r="Y372" t="s">
        <v>37</v>
      </c>
      <c r="Z372">
        <v>2700.58</v>
      </c>
      <c r="AA372">
        <v>842.09999999999991</v>
      </c>
    </row>
    <row r="373" spans="1:27" x14ac:dyDescent="0.3">
      <c r="A373" t="s">
        <v>910</v>
      </c>
      <c r="B373" s="1">
        <v>44930</v>
      </c>
      <c r="C373" t="s">
        <v>642</v>
      </c>
      <c r="D373" t="s">
        <v>89</v>
      </c>
      <c r="E373">
        <v>3</v>
      </c>
      <c r="F373" t="s">
        <v>51</v>
      </c>
      <c r="G373">
        <v>16</v>
      </c>
      <c r="H373" t="s">
        <v>643</v>
      </c>
      <c r="I373" t="s">
        <v>30</v>
      </c>
      <c r="J373">
        <v>53</v>
      </c>
      <c r="K373" t="s">
        <v>155</v>
      </c>
      <c r="L373" t="s">
        <v>81</v>
      </c>
      <c r="M373" s="1">
        <v>45242</v>
      </c>
      <c r="N373" t="s">
        <v>44</v>
      </c>
      <c r="O373" t="s">
        <v>93</v>
      </c>
      <c r="P373" t="s">
        <v>94</v>
      </c>
      <c r="Q373" t="s">
        <v>46</v>
      </c>
      <c r="R373">
        <v>1290.44</v>
      </c>
      <c r="S373">
        <v>1756.94</v>
      </c>
      <c r="T373">
        <v>226</v>
      </c>
      <c r="U373">
        <v>9921.24</v>
      </c>
      <c r="V373">
        <v>1833.49</v>
      </c>
      <c r="W373">
        <v>8087.75</v>
      </c>
      <c r="X373">
        <v>4186.22</v>
      </c>
      <c r="Y373" t="s">
        <v>56</v>
      </c>
      <c r="Z373">
        <v>5270.82</v>
      </c>
      <c r="AA373">
        <v>1399.5</v>
      </c>
    </row>
    <row r="374" spans="1:27" x14ac:dyDescent="0.3">
      <c r="A374" t="s">
        <v>911</v>
      </c>
      <c r="B374" s="1">
        <v>45185</v>
      </c>
      <c r="C374" t="s">
        <v>658</v>
      </c>
      <c r="D374" t="s">
        <v>125</v>
      </c>
      <c r="E374">
        <v>3</v>
      </c>
      <c r="F374" t="s">
        <v>90</v>
      </c>
      <c r="G374">
        <v>2</v>
      </c>
      <c r="H374" t="s">
        <v>659</v>
      </c>
      <c r="I374" t="s">
        <v>80</v>
      </c>
      <c r="J374">
        <v>45</v>
      </c>
      <c r="K374" t="s">
        <v>42</v>
      </c>
      <c r="L374" t="s">
        <v>53</v>
      </c>
      <c r="M374" s="1">
        <v>44838</v>
      </c>
      <c r="N374" t="s">
        <v>54</v>
      </c>
      <c r="O374" t="s">
        <v>126</v>
      </c>
      <c r="P374" t="s">
        <v>68</v>
      </c>
      <c r="Q374" t="s">
        <v>120</v>
      </c>
      <c r="R374">
        <v>4301.32</v>
      </c>
      <c r="S374">
        <v>6870.07</v>
      </c>
      <c r="T374">
        <v>243</v>
      </c>
      <c r="U374">
        <v>11828.18</v>
      </c>
      <c r="V374">
        <v>2611.52</v>
      </c>
      <c r="W374">
        <v>9216.66</v>
      </c>
      <c r="X374">
        <v>2380.61</v>
      </c>
      <c r="Y374" t="s">
        <v>56</v>
      </c>
      <c r="Z374">
        <v>20610.21</v>
      </c>
      <c r="AA374">
        <v>7706.25</v>
      </c>
    </row>
    <row r="375" spans="1:27" x14ac:dyDescent="0.3">
      <c r="A375" t="s">
        <v>912</v>
      </c>
      <c r="B375" s="1">
        <v>45139</v>
      </c>
      <c r="C375" t="s">
        <v>459</v>
      </c>
      <c r="D375" t="s">
        <v>125</v>
      </c>
      <c r="E375">
        <v>1</v>
      </c>
      <c r="F375" t="s">
        <v>90</v>
      </c>
      <c r="G375">
        <v>24</v>
      </c>
      <c r="H375" t="s">
        <v>460</v>
      </c>
      <c r="I375" t="s">
        <v>80</v>
      </c>
      <c r="J375">
        <v>47</v>
      </c>
      <c r="K375" t="s">
        <v>92</v>
      </c>
      <c r="L375" t="s">
        <v>32</v>
      </c>
      <c r="M375" s="1">
        <v>44764</v>
      </c>
      <c r="N375" t="s">
        <v>44</v>
      </c>
      <c r="O375" t="s">
        <v>126</v>
      </c>
      <c r="P375" t="s">
        <v>68</v>
      </c>
      <c r="Q375" t="s">
        <v>120</v>
      </c>
      <c r="R375">
        <v>4301.32</v>
      </c>
      <c r="S375">
        <v>6870.07</v>
      </c>
      <c r="T375">
        <v>243</v>
      </c>
      <c r="U375">
        <v>6272.48</v>
      </c>
      <c r="V375">
        <v>1238.55</v>
      </c>
      <c r="W375">
        <v>5033.93</v>
      </c>
      <c r="X375">
        <v>1633.83</v>
      </c>
      <c r="Y375" t="s">
        <v>56</v>
      </c>
      <c r="Z375">
        <v>6870.07</v>
      </c>
      <c r="AA375">
        <v>2568.75</v>
      </c>
    </row>
    <row r="376" spans="1:27" x14ac:dyDescent="0.3">
      <c r="A376" t="s">
        <v>913</v>
      </c>
      <c r="B376" s="1">
        <v>45151</v>
      </c>
      <c r="C376" t="s">
        <v>914</v>
      </c>
      <c r="D376" t="s">
        <v>315</v>
      </c>
      <c r="E376">
        <v>5</v>
      </c>
      <c r="F376" t="s">
        <v>51</v>
      </c>
      <c r="G376">
        <v>16</v>
      </c>
      <c r="H376" t="s">
        <v>915</v>
      </c>
      <c r="I376" t="s">
        <v>80</v>
      </c>
      <c r="J376">
        <v>22</v>
      </c>
      <c r="K376" t="s">
        <v>65</v>
      </c>
      <c r="L376" t="s">
        <v>32</v>
      </c>
      <c r="M376" s="1">
        <v>44723</v>
      </c>
      <c r="N376" t="s">
        <v>54</v>
      </c>
      <c r="O376" t="s">
        <v>316</v>
      </c>
      <c r="P376" t="s">
        <v>110</v>
      </c>
      <c r="Q376" t="s">
        <v>120</v>
      </c>
      <c r="R376">
        <v>2359.8000000000002</v>
      </c>
      <c r="S376">
        <v>2910.71</v>
      </c>
      <c r="T376">
        <v>211</v>
      </c>
      <c r="U376">
        <v>12454.04</v>
      </c>
      <c r="V376">
        <v>3041.37</v>
      </c>
      <c r="W376">
        <v>9412.67</v>
      </c>
      <c r="X376">
        <v>1182.23</v>
      </c>
      <c r="Y376" t="s">
        <v>56</v>
      </c>
      <c r="Z376">
        <v>14553.55</v>
      </c>
      <c r="AA376">
        <v>2754.5499999999993</v>
      </c>
    </row>
    <row r="377" spans="1:27" x14ac:dyDescent="0.3">
      <c r="A377" t="s">
        <v>916</v>
      </c>
      <c r="B377" s="1">
        <v>45286</v>
      </c>
      <c r="C377" t="s">
        <v>524</v>
      </c>
      <c r="D377" t="s">
        <v>399</v>
      </c>
      <c r="E377">
        <v>3</v>
      </c>
      <c r="F377" t="s">
        <v>78</v>
      </c>
      <c r="G377">
        <v>21</v>
      </c>
      <c r="H377" t="s">
        <v>525</v>
      </c>
      <c r="I377" t="s">
        <v>80</v>
      </c>
      <c r="J377">
        <v>31</v>
      </c>
      <c r="K377" t="s">
        <v>65</v>
      </c>
      <c r="L377" t="s">
        <v>108</v>
      </c>
      <c r="M377" s="1">
        <v>45389</v>
      </c>
      <c r="N377" t="s">
        <v>44</v>
      </c>
      <c r="O377" t="s">
        <v>400</v>
      </c>
      <c r="P377" t="s">
        <v>94</v>
      </c>
      <c r="Q377" t="s">
        <v>46</v>
      </c>
      <c r="R377">
        <v>828.79</v>
      </c>
      <c r="S377">
        <v>1227.1300000000001</v>
      </c>
      <c r="T377">
        <v>228</v>
      </c>
      <c r="U377">
        <v>5947.43</v>
      </c>
      <c r="V377">
        <v>1328.15</v>
      </c>
      <c r="W377">
        <v>4619.28</v>
      </c>
      <c r="X377">
        <v>899.27</v>
      </c>
      <c r="Y377" t="s">
        <v>56</v>
      </c>
      <c r="Z377">
        <v>3681.3900000000003</v>
      </c>
      <c r="AA377">
        <v>1195.0200000000004</v>
      </c>
    </row>
    <row r="378" spans="1:27" x14ac:dyDescent="0.3">
      <c r="A378" t="s">
        <v>917</v>
      </c>
      <c r="B378" s="1">
        <v>45065</v>
      </c>
      <c r="C378" t="s">
        <v>309</v>
      </c>
      <c r="D378" t="s">
        <v>89</v>
      </c>
      <c r="E378">
        <v>5</v>
      </c>
      <c r="F378" t="s">
        <v>90</v>
      </c>
      <c r="G378">
        <v>11</v>
      </c>
      <c r="H378" t="s">
        <v>310</v>
      </c>
      <c r="I378" t="s">
        <v>80</v>
      </c>
      <c r="J378">
        <v>37</v>
      </c>
      <c r="K378" t="s">
        <v>60</v>
      </c>
      <c r="L378" t="s">
        <v>53</v>
      </c>
      <c r="M378" s="1">
        <v>45270</v>
      </c>
      <c r="N378" t="s">
        <v>44</v>
      </c>
      <c r="O378" t="s">
        <v>93</v>
      </c>
      <c r="P378" t="s">
        <v>94</v>
      </c>
      <c r="Q378" t="s">
        <v>46</v>
      </c>
      <c r="R378">
        <v>1290.44</v>
      </c>
      <c r="S378">
        <v>1756.94</v>
      </c>
      <c r="T378">
        <v>226</v>
      </c>
      <c r="U378">
        <v>6256.88</v>
      </c>
      <c r="V378">
        <v>295.56</v>
      </c>
      <c r="W378">
        <v>5961.32</v>
      </c>
      <c r="X378">
        <v>4540.95</v>
      </c>
      <c r="Y378" t="s">
        <v>47</v>
      </c>
      <c r="Z378">
        <v>8784.7000000000007</v>
      </c>
      <c r="AA378">
        <v>2332.5</v>
      </c>
    </row>
    <row r="379" spans="1:27" x14ac:dyDescent="0.3">
      <c r="A379" t="s">
        <v>918</v>
      </c>
      <c r="B379" s="1">
        <v>44943</v>
      </c>
      <c r="C379" t="s">
        <v>535</v>
      </c>
      <c r="D379" t="s">
        <v>63</v>
      </c>
      <c r="E379">
        <v>6</v>
      </c>
      <c r="F379" t="s">
        <v>51</v>
      </c>
      <c r="G379">
        <v>16</v>
      </c>
      <c r="H379" t="s">
        <v>536</v>
      </c>
      <c r="I379" t="s">
        <v>80</v>
      </c>
      <c r="J379">
        <v>30</v>
      </c>
      <c r="K379" t="s">
        <v>42</v>
      </c>
      <c r="L379" t="s">
        <v>81</v>
      </c>
      <c r="M379" s="1">
        <v>44871</v>
      </c>
      <c r="N379" t="s">
        <v>44</v>
      </c>
      <c r="O379" t="s">
        <v>67</v>
      </c>
      <c r="P379" t="s">
        <v>68</v>
      </c>
      <c r="Q379" t="s">
        <v>46</v>
      </c>
      <c r="R379">
        <v>2961.83</v>
      </c>
      <c r="S379">
        <v>4189.8100000000004</v>
      </c>
      <c r="T379">
        <v>165</v>
      </c>
      <c r="U379">
        <v>8427.7199999999993</v>
      </c>
      <c r="V379">
        <v>1845.16</v>
      </c>
      <c r="W379">
        <v>6582.56</v>
      </c>
      <c r="X379">
        <v>4467.6099999999997</v>
      </c>
      <c r="Y379" t="s">
        <v>56</v>
      </c>
      <c r="Z379">
        <v>25138.86</v>
      </c>
      <c r="AA379">
        <v>7367.8800000000028</v>
      </c>
    </row>
    <row r="380" spans="1:27" x14ac:dyDescent="0.3">
      <c r="A380" t="s">
        <v>919</v>
      </c>
      <c r="B380" s="1">
        <v>44994</v>
      </c>
      <c r="C380" t="s">
        <v>481</v>
      </c>
      <c r="D380" t="s">
        <v>269</v>
      </c>
      <c r="E380">
        <v>1</v>
      </c>
      <c r="F380" t="s">
        <v>51</v>
      </c>
      <c r="G380">
        <v>3</v>
      </c>
      <c r="H380" t="s">
        <v>482</v>
      </c>
      <c r="I380" t="s">
        <v>80</v>
      </c>
      <c r="J380">
        <v>25</v>
      </c>
      <c r="K380" t="s">
        <v>53</v>
      </c>
      <c r="L380" t="s">
        <v>108</v>
      </c>
      <c r="M380" s="1">
        <v>45315</v>
      </c>
      <c r="N380" t="s">
        <v>33</v>
      </c>
      <c r="O380" t="s">
        <v>270</v>
      </c>
      <c r="P380" t="s">
        <v>35</v>
      </c>
      <c r="Q380" t="s">
        <v>120</v>
      </c>
      <c r="R380">
        <v>4675.05</v>
      </c>
      <c r="S380">
        <v>5769.35</v>
      </c>
      <c r="T380">
        <v>260</v>
      </c>
      <c r="U380">
        <v>1713.31</v>
      </c>
      <c r="V380">
        <v>408.16</v>
      </c>
      <c r="W380">
        <v>1305.1500000000001</v>
      </c>
      <c r="X380">
        <v>1043.01</v>
      </c>
      <c r="Y380" t="s">
        <v>83</v>
      </c>
      <c r="Z380">
        <v>5769.35</v>
      </c>
      <c r="AA380">
        <v>1094.3000000000002</v>
      </c>
    </row>
    <row r="381" spans="1:27" x14ac:dyDescent="0.3">
      <c r="A381" t="s">
        <v>920</v>
      </c>
      <c r="B381" s="1">
        <v>45122</v>
      </c>
      <c r="C381" t="s">
        <v>921</v>
      </c>
      <c r="D381" t="s">
        <v>471</v>
      </c>
      <c r="E381">
        <v>4</v>
      </c>
      <c r="F381" t="s">
        <v>28</v>
      </c>
      <c r="G381">
        <v>17</v>
      </c>
      <c r="H381" t="s">
        <v>922</v>
      </c>
      <c r="I381" t="s">
        <v>80</v>
      </c>
      <c r="J381">
        <v>36</v>
      </c>
      <c r="K381" t="s">
        <v>53</v>
      </c>
      <c r="L381" t="s">
        <v>66</v>
      </c>
      <c r="M381" s="1">
        <v>44579</v>
      </c>
      <c r="N381" t="s">
        <v>33</v>
      </c>
      <c r="O381" t="s">
        <v>473</v>
      </c>
      <c r="P381" t="s">
        <v>68</v>
      </c>
      <c r="Q381" t="s">
        <v>120</v>
      </c>
      <c r="R381">
        <v>1492.62</v>
      </c>
      <c r="S381">
        <v>2285.1999999999998</v>
      </c>
      <c r="T381">
        <v>106</v>
      </c>
      <c r="U381">
        <v>688.76</v>
      </c>
      <c r="V381">
        <v>69.2</v>
      </c>
      <c r="W381">
        <v>619.55999999999995</v>
      </c>
      <c r="X381">
        <v>4096.8</v>
      </c>
      <c r="Y381" t="s">
        <v>56</v>
      </c>
      <c r="Z381">
        <v>9140.7999999999993</v>
      </c>
      <c r="AA381">
        <v>3170.3199999999997</v>
      </c>
    </row>
    <row r="382" spans="1:27" x14ac:dyDescent="0.3">
      <c r="A382" t="s">
        <v>923</v>
      </c>
      <c r="B382" s="1">
        <v>45149</v>
      </c>
      <c r="C382" t="s">
        <v>834</v>
      </c>
      <c r="D382" t="s">
        <v>197</v>
      </c>
      <c r="E382">
        <v>2</v>
      </c>
      <c r="F382" t="s">
        <v>90</v>
      </c>
      <c r="G382">
        <v>24</v>
      </c>
      <c r="H382" t="s">
        <v>835</v>
      </c>
      <c r="I382" t="s">
        <v>80</v>
      </c>
      <c r="J382">
        <v>45</v>
      </c>
      <c r="K382" t="s">
        <v>42</v>
      </c>
      <c r="L382" t="s">
        <v>32</v>
      </c>
      <c r="M382" s="1">
        <v>44766</v>
      </c>
      <c r="N382" t="s">
        <v>44</v>
      </c>
      <c r="O382" t="s">
        <v>199</v>
      </c>
      <c r="P382" t="s">
        <v>35</v>
      </c>
      <c r="Q382" t="s">
        <v>46</v>
      </c>
      <c r="R382">
        <v>1612.7</v>
      </c>
      <c r="S382">
        <v>1932.63</v>
      </c>
      <c r="T382">
        <v>278</v>
      </c>
      <c r="U382">
        <v>13257.26</v>
      </c>
      <c r="V382">
        <v>3022.71</v>
      </c>
      <c r="W382">
        <v>10234.549999999999</v>
      </c>
      <c r="X382">
        <v>2419.44</v>
      </c>
      <c r="Y382" t="s">
        <v>83</v>
      </c>
      <c r="Z382">
        <v>3865.26</v>
      </c>
      <c r="AA382">
        <v>639.86000000000013</v>
      </c>
    </row>
    <row r="383" spans="1:27" x14ac:dyDescent="0.3">
      <c r="A383" t="s">
        <v>924</v>
      </c>
      <c r="B383" s="1">
        <v>45239</v>
      </c>
      <c r="C383" t="s">
        <v>58</v>
      </c>
      <c r="D383" t="s">
        <v>122</v>
      </c>
      <c r="E383">
        <v>6</v>
      </c>
      <c r="F383" t="s">
        <v>78</v>
      </c>
      <c r="G383">
        <v>24</v>
      </c>
      <c r="H383" t="s">
        <v>59</v>
      </c>
      <c r="I383" t="s">
        <v>30</v>
      </c>
      <c r="J383">
        <v>25</v>
      </c>
      <c r="K383" t="s">
        <v>60</v>
      </c>
      <c r="L383" t="s">
        <v>53</v>
      </c>
      <c r="M383" s="1">
        <v>44898</v>
      </c>
      <c r="N383" t="s">
        <v>44</v>
      </c>
      <c r="O383" t="s">
        <v>123</v>
      </c>
      <c r="P383" t="s">
        <v>68</v>
      </c>
      <c r="Q383" t="s">
        <v>46</v>
      </c>
      <c r="R383">
        <v>1480.33</v>
      </c>
      <c r="S383">
        <v>1709.3</v>
      </c>
      <c r="T383">
        <v>229</v>
      </c>
      <c r="U383">
        <v>13207.18</v>
      </c>
      <c r="V383">
        <v>409.88</v>
      </c>
      <c r="W383">
        <v>12797.3</v>
      </c>
      <c r="X383">
        <v>3654.34</v>
      </c>
      <c r="Y383" t="s">
        <v>56</v>
      </c>
      <c r="Z383">
        <v>10255.799999999999</v>
      </c>
      <c r="AA383">
        <v>1373.8200000000002</v>
      </c>
    </row>
    <row r="384" spans="1:27" x14ac:dyDescent="0.3">
      <c r="A384" t="s">
        <v>925</v>
      </c>
      <c r="B384" s="1">
        <v>45048</v>
      </c>
      <c r="C384" t="s">
        <v>578</v>
      </c>
      <c r="D384" t="s">
        <v>259</v>
      </c>
      <c r="E384">
        <v>6</v>
      </c>
      <c r="F384" t="s">
        <v>28</v>
      </c>
      <c r="G384">
        <v>23</v>
      </c>
      <c r="H384" t="s">
        <v>579</v>
      </c>
      <c r="I384" t="s">
        <v>80</v>
      </c>
      <c r="J384">
        <v>26</v>
      </c>
      <c r="K384" t="s">
        <v>53</v>
      </c>
      <c r="L384" t="s">
        <v>66</v>
      </c>
      <c r="M384" s="1">
        <v>45272</v>
      </c>
      <c r="N384" t="s">
        <v>33</v>
      </c>
      <c r="O384" t="s">
        <v>261</v>
      </c>
      <c r="P384" t="s">
        <v>94</v>
      </c>
      <c r="Q384" t="s">
        <v>111</v>
      </c>
      <c r="R384">
        <v>4426.51</v>
      </c>
      <c r="S384">
        <v>5123.7299999999996</v>
      </c>
      <c r="T384">
        <v>298</v>
      </c>
      <c r="U384">
        <v>15611.63</v>
      </c>
      <c r="V384">
        <v>3882.74</v>
      </c>
      <c r="W384">
        <v>11728.89</v>
      </c>
      <c r="X384">
        <v>4725.1400000000003</v>
      </c>
      <c r="Y384" t="s">
        <v>83</v>
      </c>
      <c r="Z384">
        <v>30742.379999999997</v>
      </c>
      <c r="AA384">
        <v>4183.3199999999961</v>
      </c>
    </row>
    <row r="385" spans="1:27" x14ac:dyDescent="0.3">
      <c r="A385" t="s">
        <v>926</v>
      </c>
      <c r="B385" s="1">
        <v>45219</v>
      </c>
      <c r="C385" t="s">
        <v>487</v>
      </c>
      <c r="D385" t="s">
        <v>259</v>
      </c>
      <c r="E385">
        <v>3</v>
      </c>
      <c r="F385" t="s">
        <v>28</v>
      </c>
      <c r="G385">
        <v>15</v>
      </c>
      <c r="H385" t="s">
        <v>488</v>
      </c>
      <c r="I385" t="s">
        <v>30</v>
      </c>
      <c r="J385">
        <v>41</v>
      </c>
      <c r="K385" t="s">
        <v>155</v>
      </c>
      <c r="L385" t="s">
        <v>53</v>
      </c>
      <c r="M385" s="1">
        <v>44861</v>
      </c>
      <c r="N385" t="s">
        <v>44</v>
      </c>
      <c r="O385" t="s">
        <v>261</v>
      </c>
      <c r="P385" t="s">
        <v>94</v>
      </c>
      <c r="Q385" t="s">
        <v>111</v>
      </c>
      <c r="R385">
        <v>4426.51</v>
      </c>
      <c r="S385">
        <v>5123.7299999999996</v>
      </c>
      <c r="T385">
        <v>298</v>
      </c>
      <c r="U385">
        <v>7410.26</v>
      </c>
      <c r="V385">
        <v>313.48</v>
      </c>
      <c r="W385">
        <v>7096.78</v>
      </c>
      <c r="X385">
        <v>4181.76</v>
      </c>
      <c r="Y385" t="s">
        <v>56</v>
      </c>
      <c r="Z385">
        <v>15371.189999999999</v>
      </c>
      <c r="AA385">
        <v>2091.659999999998</v>
      </c>
    </row>
    <row r="386" spans="1:27" x14ac:dyDescent="0.3">
      <c r="A386" t="s">
        <v>927</v>
      </c>
      <c r="B386" s="1">
        <v>45105</v>
      </c>
      <c r="C386" t="s">
        <v>617</v>
      </c>
      <c r="D386" t="s">
        <v>302</v>
      </c>
      <c r="E386">
        <v>1</v>
      </c>
      <c r="F386" t="s">
        <v>78</v>
      </c>
      <c r="G386">
        <v>11</v>
      </c>
      <c r="H386" t="s">
        <v>618</v>
      </c>
      <c r="I386" t="s">
        <v>30</v>
      </c>
      <c r="J386">
        <v>56</v>
      </c>
      <c r="K386" t="s">
        <v>31</v>
      </c>
      <c r="L386" t="s">
        <v>81</v>
      </c>
      <c r="M386" s="1">
        <v>44749</v>
      </c>
      <c r="N386" t="s">
        <v>44</v>
      </c>
      <c r="O386" t="s">
        <v>304</v>
      </c>
      <c r="P386" t="s">
        <v>68</v>
      </c>
      <c r="Q386" t="s">
        <v>120</v>
      </c>
      <c r="R386">
        <v>1858.72</v>
      </c>
      <c r="S386">
        <v>2175.88</v>
      </c>
      <c r="T386">
        <v>272</v>
      </c>
      <c r="U386">
        <v>5285.57</v>
      </c>
      <c r="V386">
        <v>281.08</v>
      </c>
      <c r="W386">
        <v>5004.49</v>
      </c>
      <c r="X386">
        <v>1988.82</v>
      </c>
      <c r="Y386" t="s">
        <v>47</v>
      </c>
      <c r="Z386">
        <v>2175.88</v>
      </c>
      <c r="AA386">
        <v>317.16000000000008</v>
      </c>
    </row>
    <row r="387" spans="1:27" x14ac:dyDescent="0.3">
      <c r="A387" t="s">
        <v>928</v>
      </c>
      <c r="B387" s="1">
        <v>45026</v>
      </c>
      <c r="C387" t="s">
        <v>128</v>
      </c>
      <c r="D387" t="s">
        <v>255</v>
      </c>
      <c r="E387">
        <v>4</v>
      </c>
      <c r="F387" t="s">
        <v>90</v>
      </c>
      <c r="G387">
        <v>20</v>
      </c>
      <c r="H387" t="s">
        <v>130</v>
      </c>
      <c r="I387" t="s">
        <v>30</v>
      </c>
      <c r="J387">
        <v>36</v>
      </c>
      <c r="K387" t="s">
        <v>65</v>
      </c>
      <c r="L387" t="s">
        <v>81</v>
      </c>
      <c r="M387" s="1">
        <v>44599</v>
      </c>
      <c r="N387" t="s">
        <v>54</v>
      </c>
      <c r="O387" t="s">
        <v>256</v>
      </c>
      <c r="P387" t="s">
        <v>110</v>
      </c>
      <c r="Q387" t="s">
        <v>36</v>
      </c>
      <c r="R387">
        <v>1637.53</v>
      </c>
      <c r="S387">
        <v>1892.5</v>
      </c>
      <c r="T387">
        <v>169</v>
      </c>
      <c r="U387">
        <v>2502.5300000000002</v>
      </c>
      <c r="V387">
        <v>563.16999999999996</v>
      </c>
      <c r="W387">
        <v>1939.36</v>
      </c>
      <c r="X387">
        <v>2563.5</v>
      </c>
      <c r="Y387" t="s">
        <v>83</v>
      </c>
      <c r="Z387">
        <v>7570</v>
      </c>
      <c r="AA387">
        <v>1019.8800000000001</v>
      </c>
    </row>
    <row r="388" spans="1:27" x14ac:dyDescent="0.3">
      <c r="A388" t="s">
        <v>929</v>
      </c>
      <c r="B388" s="1">
        <v>45063</v>
      </c>
      <c r="C388" t="s">
        <v>646</v>
      </c>
      <c r="D388" t="s">
        <v>230</v>
      </c>
      <c r="E388">
        <v>5</v>
      </c>
      <c r="F388" t="s">
        <v>51</v>
      </c>
      <c r="G388">
        <v>5</v>
      </c>
      <c r="H388" t="s">
        <v>647</v>
      </c>
      <c r="I388" t="s">
        <v>30</v>
      </c>
      <c r="J388">
        <v>42</v>
      </c>
      <c r="K388" t="s">
        <v>92</v>
      </c>
      <c r="L388" t="s">
        <v>53</v>
      </c>
      <c r="M388" s="1">
        <v>45086</v>
      </c>
      <c r="N388" t="s">
        <v>33</v>
      </c>
      <c r="O388" t="s">
        <v>232</v>
      </c>
      <c r="P388" t="s">
        <v>110</v>
      </c>
      <c r="Q388" t="s">
        <v>46</v>
      </c>
      <c r="R388">
        <v>4570.75</v>
      </c>
      <c r="S388">
        <v>5891.26</v>
      </c>
      <c r="T388">
        <v>285</v>
      </c>
      <c r="U388">
        <v>2225.5700000000002</v>
      </c>
      <c r="V388">
        <v>305.82</v>
      </c>
      <c r="W388">
        <v>1919.75</v>
      </c>
      <c r="X388">
        <v>2176.66</v>
      </c>
      <c r="Y388" t="s">
        <v>56</v>
      </c>
      <c r="Z388">
        <v>29456.300000000003</v>
      </c>
      <c r="AA388">
        <v>6602.5500000000011</v>
      </c>
    </row>
    <row r="389" spans="1:27" x14ac:dyDescent="0.3">
      <c r="A389" t="s">
        <v>930</v>
      </c>
      <c r="B389" s="1">
        <v>45169</v>
      </c>
      <c r="C389" t="s">
        <v>353</v>
      </c>
      <c r="D389" t="s">
        <v>329</v>
      </c>
      <c r="E389">
        <v>4</v>
      </c>
      <c r="F389" t="s">
        <v>28</v>
      </c>
      <c r="G389">
        <v>1</v>
      </c>
      <c r="H389" t="s">
        <v>355</v>
      </c>
      <c r="I389" t="s">
        <v>80</v>
      </c>
      <c r="J389">
        <v>28</v>
      </c>
      <c r="K389" t="s">
        <v>42</v>
      </c>
      <c r="L389" t="s">
        <v>43</v>
      </c>
      <c r="M389" s="1">
        <v>44997</v>
      </c>
      <c r="N389" t="s">
        <v>33</v>
      </c>
      <c r="O389" t="s">
        <v>330</v>
      </c>
      <c r="P389" t="s">
        <v>94</v>
      </c>
      <c r="Q389" t="s">
        <v>46</v>
      </c>
      <c r="R389">
        <v>3358.26</v>
      </c>
      <c r="S389">
        <v>4345.1099999999997</v>
      </c>
      <c r="T389">
        <v>179</v>
      </c>
      <c r="U389">
        <v>863.95</v>
      </c>
      <c r="V389">
        <v>29.43</v>
      </c>
      <c r="W389">
        <v>834.52</v>
      </c>
      <c r="X389">
        <v>2286.5</v>
      </c>
      <c r="Y389" t="s">
        <v>56</v>
      </c>
      <c r="Z389">
        <v>17380.439999999999</v>
      </c>
      <c r="AA389">
        <v>3947.3999999999978</v>
      </c>
    </row>
    <row r="390" spans="1:27" x14ac:dyDescent="0.3">
      <c r="A390" t="s">
        <v>931</v>
      </c>
      <c r="B390" s="1">
        <v>45052</v>
      </c>
      <c r="C390" t="s">
        <v>729</v>
      </c>
      <c r="D390" t="s">
        <v>202</v>
      </c>
      <c r="E390">
        <v>2</v>
      </c>
      <c r="F390" t="s">
        <v>51</v>
      </c>
      <c r="G390">
        <v>22</v>
      </c>
      <c r="H390" t="s">
        <v>730</v>
      </c>
      <c r="I390" t="s">
        <v>80</v>
      </c>
      <c r="J390">
        <v>41</v>
      </c>
      <c r="K390" t="s">
        <v>31</v>
      </c>
      <c r="L390" t="s">
        <v>43</v>
      </c>
      <c r="M390" s="1">
        <v>45504</v>
      </c>
      <c r="N390" t="s">
        <v>54</v>
      </c>
      <c r="O390" t="s">
        <v>204</v>
      </c>
      <c r="P390" t="s">
        <v>110</v>
      </c>
      <c r="Q390" t="s">
        <v>111</v>
      </c>
      <c r="R390">
        <v>830.87</v>
      </c>
      <c r="S390">
        <v>1283.0999999999999</v>
      </c>
      <c r="T390">
        <v>46</v>
      </c>
      <c r="U390">
        <v>5225.0600000000004</v>
      </c>
      <c r="V390">
        <v>92.46</v>
      </c>
      <c r="W390">
        <v>5132.6000000000004</v>
      </c>
      <c r="X390">
        <v>3724.93</v>
      </c>
      <c r="Y390" t="s">
        <v>37</v>
      </c>
      <c r="Z390">
        <v>2566.1999999999998</v>
      </c>
      <c r="AA390">
        <v>904.45999999999981</v>
      </c>
    </row>
    <row r="391" spans="1:27" x14ac:dyDescent="0.3">
      <c r="A391" t="s">
        <v>932</v>
      </c>
      <c r="B391" s="1">
        <v>45117</v>
      </c>
      <c r="C391" t="s">
        <v>741</v>
      </c>
      <c r="D391" t="s">
        <v>393</v>
      </c>
      <c r="E391">
        <v>3</v>
      </c>
      <c r="F391" t="s">
        <v>28</v>
      </c>
      <c r="G391">
        <v>16</v>
      </c>
      <c r="H391" t="s">
        <v>742</v>
      </c>
      <c r="I391" t="s">
        <v>30</v>
      </c>
      <c r="J391">
        <v>23</v>
      </c>
      <c r="K391" t="s">
        <v>53</v>
      </c>
      <c r="L391" t="s">
        <v>66</v>
      </c>
      <c r="M391" s="1">
        <v>44877</v>
      </c>
      <c r="N391" t="s">
        <v>54</v>
      </c>
      <c r="O391" t="s">
        <v>395</v>
      </c>
      <c r="P391" t="s">
        <v>35</v>
      </c>
      <c r="Q391" t="s">
        <v>111</v>
      </c>
      <c r="R391">
        <v>4793.34</v>
      </c>
      <c r="S391">
        <v>7058.65</v>
      </c>
      <c r="T391">
        <v>107</v>
      </c>
      <c r="U391">
        <v>11353.17</v>
      </c>
      <c r="V391">
        <v>2824.84</v>
      </c>
      <c r="W391">
        <v>8528.33</v>
      </c>
      <c r="X391">
        <v>2041.09</v>
      </c>
      <c r="Y391" t="s">
        <v>47</v>
      </c>
      <c r="Z391">
        <v>21175.949999999997</v>
      </c>
      <c r="AA391">
        <v>6795.9299999999985</v>
      </c>
    </row>
    <row r="392" spans="1:27" x14ac:dyDescent="0.3">
      <c r="A392" t="s">
        <v>933</v>
      </c>
      <c r="B392" s="1">
        <v>45234</v>
      </c>
      <c r="C392" t="s">
        <v>332</v>
      </c>
      <c r="D392" t="s">
        <v>40</v>
      </c>
      <c r="E392">
        <v>4</v>
      </c>
      <c r="F392" t="s">
        <v>90</v>
      </c>
      <c r="G392">
        <v>21</v>
      </c>
      <c r="H392" t="s">
        <v>333</v>
      </c>
      <c r="I392" t="s">
        <v>30</v>
      </c>
      <c r="J392">
        <v>20</v>
      </c>
      <c r="K392" t="s">
        <v>92</v>
      </c>
      <c r="L392" t="s">
        <v>32</v>
      </c>
      <c r="M392" s="1">
        <v>44792</v>
      </c>
      <c r="N392" t="s">
        <v>54</v>
      </c>
      <c r="O392" t="s">
        <v>45</v>
      </c>
      <c r="P392" t="s">
        <v>35</v>
      </c>
      <c r="Q392" t="s">
        <v>46</v>
      </c>
      <c r="R392">
        <v>1093.9000000000001</v>
      </c>
      <c r="S392">
        <v>1507.34</v>
      </c>
      <c r="T392">
        <v>11</v>
      </c>
      <c r="U392">
        <v>3454.95</v>
      </c>
      <c r="V392">
        <v>398.25</v>
      </c>
      <c r="W392">
        <v>3056.7</v>
      </c>
      <c r="X392">
        <v>195.93</v>
      </c>
      <c r="Y392" t="s">
        <v>37</v>
      </c>
      <c r="Z392">
        <v>6029.36</v>
      </c>
      <c r="AA392">
        <v>1653.7599999999993</v>
      </c>
    </row>
    <row r="393" spans="1:27" x14ac:dyDescent="0.3">
      <c r="A393" t="s">
        <v>934</v>
      </c>
      <c r="B393" s="1">
        <v>45088</v>
      </c>
      <c r="C393" t="s">
        <v>935</v>
      </c>
      <c r="D393" t="s">
        <v>259</v>
      </c>
      <c r="E393">
        <v>3</v>
      </c>
      <c r="F393" t="s">
        <v>78</v>
      </c>
      <c r="G393">
        <v>25</v>
      </c>
      <c r="H393" t="s">
        <v>936</v>
      </c>
      <c r="I393" t="s">
        <v>80</v>
      </c>
      <c r="J393">
        <v>53</v>
      </c>
      <c r="K393" t="s">
        <v>65</v>
      </c>
      <c r="L393" t="s">
        <v>81</v>
      </c>
      <c r="M393" s="1">
        <v>45202</v>
      </c>
      <c r="N393" t="s">
        <v>44</v>
      </c>
      <c r="O393" t="s">
        <v>261</v>
      </c>
      <c r="P393" t="s">
        <v>94</v>
      </c>
      <c r="Q393" t="s">
        <v>111</v>
      </c>
      <c r="R393">
        <v>4426.51</v>
      </c>
      <c r="S393">
        <v>5123.7299999999996</v>
      </c>
      <c r="T393">
        <v>298</v>
      </c>
      <c r="U393">
        <v>9421.7099999999991</v>
      </c>
      <c r="V393">
        <v>1616.2</v>
      </c>
      <c r="W393">
        <v>7805.51</v>
      </c>
      <c r="X393">
        <v>1181.01</v>
      </c>
      <c r="Y393" t="s">
        <v>47</v>
      </c>
      <c r="Z393">
        <v>15371.189999999999</v>
      </c>
      <c r="AA393">
        <v>2091.659999999998</v>
      </c>
    </row>
    <row r="394" spans="1:27" x14ac:dyDescent="0.3">
      <c r="A394" t="s">
        <v>937</v>
      </c>
      <c r="B394" s="1">
        <v>44952</v>
      </c>
      <c r="C394" t="s">
        <v>611</v>
      </c>
      <c r="D394" t="s">
        <v>102</v>
      </c>
      <c r="E394">
        <v>3</v>
      </c>
      <c r="F394" t="s">
        <v>28</v>
      </c>
      <c r="G394">
        <v>17</v>
      </c>
      <c r="H394" t="s">
        <v>612</v>
      </c>
      <c r="I394" t="s">
        <v>80</v>
      </c>
      <c r="J394">
        <v>26</v>
      </c>
      <c r="K394" t="s">
        <v>73</v>
      </c>
      <c r="L394" t="s">
        <v>108</v>
      </c>
      <c r="M394" s="1">
        <v>45239</v>
      </c>
      <c r="N394" t="s">
        <v>33</v>
      </c>
      <c r="O394" t="s">
        <v>103</v>
      </c>
      <c r="P394" t="s">
        <v>94</v>
      </c>
      <c r="Q394" t="s">
        <v>46</v>
      </c>
      <c r="R394">
        <v>4398.43</v>
      </c>
      <c r="S394">
        <v>6683.28</v>
      </c>
      <c r="T394">
        <v>152</v>
      </c>
      <c r="U394">
        <v>15590.3</v>
      </c>
      <c r="V394">
        <v>3050</v>
      </c>
      <c r="W394">
        <v>12540.3</v>
      </c>
      <c r="X394">
        <v>4044.25</v>
      </c>
      <c r="Y394" t="s">
        <v>83</v>
      </c>
      <c r="Z394">
        <v>20049.84</v>
      </c>
      <c r="AA394">
        <v>6854.5499999999984</v>
      </c>
    </row>
    <row r="395" spans="1:27" x14ac:dyDescent="0.3">
      <c r="A395" t="s">
        <v>938</v>
      </c>
      <c r="B395" s="1">
        <v>44977</v>
      </c>
      <c r="C395" t="s">
        <v>624</v>
      </c>
      <c r="D395" t="s">
        <v>153</v>
      </c>
      <c r="E395">
        <v>5</v>
      </c>
      <c r="F395" t="s">
        <v>78</v>
      </c>
      <c r="G395">
        <v>25</v>
      </c>
      <c r="H395" t="s">
        <v>625</v>
      </c>
      <c r="I395" t="s">
        <v>30</v>
      </c>
      <c r="J395">
        <v>39</v>
      </c>
      <c r="K395" t="s">
        <v>92</v>
      </c>
      <c r="L395" t="s">
        <v>32</v>
      </c>
      <c r="M395" s="1">
        <v>45728</v>
      </c>
      <c r="N395" t="s">
        <v>44</v>
      </c>
      <c r="O395" t="s">
        <v>156</v>
      </c>
      <c r="P395" t="s">
        <v>35</v>
      </c>
      <c r="Q395" t="s">
        <v>36</v>
      </c>
      <c r="R395">
        <v>2340.46</v>
      </c>
      <c r="S395">
        <v>2600.46</v>
      </c>
      <c r="T395">
        <v>245</v>
      </c>
      <c r="U395">
        <v>12765.81</v>
      </c>
      <c r="V395">
        <v>874.28</v>
      </c>
      <c r="W395">
        <v>11891.53</v>
      </c>
      <c r="X395">
        <v>1909.71</v>
      </c>
      <c r="Y395" t="s">
        <v>47</v>
      </c>
      <c r="Z395">
        <v>13002.3</v>
      </c>
      <c r="AA395">
        <v>1300</v>
      </c>
    </row>
    <row r="396" spans="1:27" x14ac:dyDescent="0.3">
      <c r="A396" t="s">
        <v>939</v>
      </c>
      <c r="B396" s="1">
        <v>44961</v>
      </c>
      <c r="C396" t="s">
        <v>940</v>
      </c>
      <c r="D396" t="s">
        <v>230</v>
      </c>
      <c r="E396">
        <v>6</v>
      </c>
      <c r="F396" t="s">
        <v>90</v>
      </c>
      <c r="G396">
        <v>24</v>
      </c>
      <c r="H396" t="s">
        <v>941</v>
      </c>
      <c r="I396" t="s">
        <v>30</v>
      </c>
      <c r="J396">
        <v>49</v>
      </c>
      <c r="K396" t="s">
        <v>31</v>
      </c>
      <c r="L396" t="s">
        <v>81</v>
      </c>
      <c r="M396" s="1">
        <v>45645</v>
      </c>
      <c r="N396" t="s">
        <v>33</v>
      </c>
      <c r="O396" t="s">
        <v>232</v>
      </c>
      <c r="P396" t="s">
        <v>110</v>
      </c>
      <c r="Q396" t="s">
        <v>46</v>
      </c>
      <c r="R396">
        <v>4570.75</v>
      </c>
      <c r="S396">
        <v>5891.26</v>
      </c>
      <c r="T396">
        <v>285</v>
      </c>
      <c r="U396">
        <v>16513.5</v>
      </c>
      <c r="V396">
        <v>2340.29</v>
      </c>
      <c r="W396">
        <v>14173.21</v>
      </c>
      <c r="X396">
        <v>4682.4399999999996</v>
      </c>
      <c r="Y396" t="s">
        <v>83</v>
      </c>
      <c r="Z396">
        <v>35347.56</v>
      </c>
      <c r="AA396">
        <v>7923.0600000000013</v>
      </c>
    </row>
    <row r="397" spans="1:27" x14ac:dyDescent="0.3">
      <c r="A397" t="s">
        <v>942</v>
      </c>
      <c r="B397" s="1">
        <v>45092</v>
      </c>
      <c r="C397" t="s">
        <v>218</v>
      </c>
      <c r="D397" t="s">
        <v>122</v>
      </c>
      <c r="E397">
        <v>1</v>
      </c>
      <c r="F397" t="s">
        <v>90</v>
      </c>
      <c r="G397">
        <v>25</v>
      </c>
      <c r="H397" t="s">
        <v>220</v>
      </c>
      <c r="I397" t="s">
        <v>30</v>
      </c>
      <c r="J397">
        <v>33</v>
      </c>
      <c r="K397" t="s">
        <v>92</v>
      </c>
      <c r="L397" t="s">
        <v>53</v>
      </c>
      <c r="M397" s="1">
        <v>45305</v>
      </c>
      <c r="N397" t="s">
        <v>33</v>
      </c>
      <c r="O397" t="s">
        <v>123</v>
      </c>
      <c r="P397" t="s">
        <v>68</v>
      </c>
      <c r="Q397" t="s">
        <v>46</v>
      </c>
      <c r="R397">
        <v>1480.33</v>
      </c>
      <c r="S397">
        <v>1709.3</v>
      </c>
      <c r="T397">
        <v>229</v>
      </c>
      <c r="U397">
        <v>17792.740000000002</v>
      </c>
      <c r="V397">
        <v>3294.94</v>
      </c>
      <c r="W397">
        <v>14497.8</v>
      </c>
      <c r="X397">
        <v>986.03</v>
      </c>
      <c r="Y397" t="s">
        <v>47</v>
      </c>
      <c r="Z397">
        <v>1709.3</v>
      </c>
      <c r="AA397">
        <v>228.97000000000003</v>
      </c>
    </row>
    <row r="398" spans="1:27" x14ac:dyDescent="0.3">
      <c r="A398" t="s">
        <v>943</v>
      </c>
      <c r="B398" s="1">
        <v>45098</v>
      </c>
      <c r="C398" t="s">
        <v>772</v>
      </c>
      <c r="D398" t="s">
        <v>223</v>
      </c>
      <c r="E398">
        <v>3</v>
      </c>
      <c r="F398" t="s">
        <v>51</v>
      </c>
      <c r="G398">
        <v>14</v>
      </c>
      <c r="H398" t="s">
        <v>773</v>
      </c>
      <c r="I398" t="s">
        <v>30</v>
      </c>
      <c r="J398">
        <v>37</v>
      </c>
      <c r="K398" t="s">
        <v>42</v>
      </c>
      <c r="L398" t="s">
        <v>81</v>
      </c>
      <c r="M398" s="1">
        <v>45724</v>
      </c>
      <c r="N398" t="s">
        <v>33</v>
      </c>
      <c r="O398" t="s">
        <v>224</v>
      </c>
      <c r="P398" t="s">
        <v>35</v>
      </c>
      <c r="Q398" t="s">
        <v>111</v>
      </c>
      <c r="R398">
        <v>3470.49</v>
      </c>
      <c r="S398">
        <v>5407.89</v>
      </c>
      <c r="T398">
        <v>141</v>
      </c>
      <c r="U398">
        <v>5532.84</v>
      </c>
      <c r="V398">
        <v>1196.22</v>
      </c>
      <c r="W398">
        <v>4336.62</v>
      </c>
      <c r="X398">
        <v>3192.59</v>
      </c>
      <c r="Y398" t="s">
        <v>56</v>
      </c>
      <c r="Z398">
        <v>16223.670000000002</v>
      </c>
      <c r="AA398">
        <v>5812.2000000000016</v>
      </c>
    </row>
    <row r="399" spans="1:27" x14ac:dyDescent="0.3">
      <c r="A399" t="s">
        <v>944</v>
      </c>
      <c r="B399" s="1">
        <v>45087</v>
      </c>
      <c r="C399" t="s">
        <v>715</v>
      </c>
      <c r="D399" t="s">
        <v>106</v>
      </c>
      <c r="E399">
        <v>6</v>
      </c>
      <c r="F399" t="s">
        <v>51</v>
      </c>
      <c r="G399">
        <v>25</v>
      </c>
      <c r="H399" t="s">
        <v>716</v>
      </c>
      <c r="I399" t="s">
        <v>80</v>
      </c>
      <c r="J399">
        <v>31</v>
      </c>
      <c r="K399" t="s">
        <v>92</v>
      </c>
      <c r="L399" t="s">
        <v>81</v>
      </c>
      <c r="M399" s="1">
        <v>45660</v>
      </c>
      <c r="N399" t="s">
        <v>33</v>
      </c>
      <c r="O399" t="s">
        <v>109</v>
      </c>
      <c r="P399" t="s">
        <v>110</v>
      </c>
      <c r="Q399" t="s">
        <v>111</v>
      </c>
      <c r="R399">
        <v>1622.17</v>
      </c>
      <c r="S399">
        <v>1993.72</v>
      </c>
      <c r="T399">
        <v>262</v>
      </c>
      <c r="U399">
        <v>14906.42</v>
      </c>
      <c r="V399">
        <v>927.71</v>
      </c>
      <c r="W399">
        <v>13978.71</v>
      </c>
      <c r="X399">
        <v>2506.46</v>
      </c>
      <c r="Y399" t="s">
        <v>56</v>
      </c>
      <c r="Z399">
        <v>11962.32</v>
      </c>
      <c r="AA399">
        <v>2229.2999999999997</v>
      </c>
    </row>
    <row r="400" spans="1:27" x14ac:dyDescent="0.3">
      <c r="A400" t="s">
        <v>945</v>
      </c>
      <c r="B400" s="1">
        <v>45010</v>
      </c>
      <c r="C400" t="s">
        <v>741</v>
      </c>
      <c r="D400" t="s">
        <v>98</v>
      </c>
      <c r="E400">
        <v>4</v>
      </c>
      <c r="F400" t="s">
        <v>51</v>
      </c>
      <c r="G400">
        <v>7</v>
      </c>
      <c r="H400" t="s">
        <v>742</v>
      </c>
      <c r="I400" t="s">
        <v>30</v>
      </c>
      <c r="J400">
        <v>23</v>
      </c>
      <c r="K400" t="s">
        <v>53</v>
      </c>
      <c r="L400" t="s">
        <v>66</v>
      </c>
      <c r="M400" s="1">
        <v>44877</v>
      </c>
      <c r="N400" t="s">
        <v>54</v>
      </c>
      <c r="O400" t="s">
        <v>100</v>
      </c>
      <c r="P400" t="s">
        <v>94</v>
      </c>
      <c r="Q400" t="s">
        <v>36</v>
      </c>
      <c r="R400">
        <v>4225.4799999999996</v>
      </c>
      <c r="S400">
        <v>6100.15</v>
      </c>
      <c r="T400">
        <v>279</v>
      </c>
      <c r="U400">
        <v>11771.65</v>
      </c>
      <c r="V400">
        <v>1888.88</v>
      </c>
      <c r="W400">
        <v>9882.77</v>
      </c>
      <c r="X400">
        <v>2947.48</v>
      </c>
      <c r="Y400" t="s">
        <v>37</v>
      </c>
      <c r="Z400">
        <v>24400.6</v>
      </c>
      <c r="AA400">
        <v>7498.68</v>
      </c>
    </row>
    <row r="401" spans="1:27" x14ac:dyDescent="0.3">
      <c r="A401" t="s">
        <v>946</v>
      </c>
      <c r="B401" s="1">
        <v>45175</v>
      </c>
      <c r="C401" t="s">
        <v>947</v>
      </c>
      <c r="D401" t="s">
        <v>102</v>
      </c>
      <c r="E401">
        <v>2</v>
      </c>
      <c r="F401" t="s">
        <v>90</v>
      </c>
      <c r="G401">
        <v>25</v>
      </c>
      <c r="H401" t="s">
        <v>948</v>
      </c>
      <c r="I401" t="s">
        <v>80</v>
      </c>
      <c r="J401">
        <v>52</v>
      </c>
      <c r="K401" t="s">
        <v>92</v>
      </c>
      <c r="L401" t="s">
        <v>32</v>
      </c>
      <c r="M401" s="1">
        <v>44716</v>
      </c>
      <c r="N401" t="s">
        <v>44</v>
      </c>
      <c r="O401" t="s">
        <v>103</v>
      </c>
      <c r="P401" t="s">
        <v>94</v>
      </c>
      <c r="Q401" t="s">
        <v>46</v>
      </c>
      <c r="R401">
        <v>4398.43</v>
      </c>
      <c r="S401">
        <v>6683.28</v>
      </c>
      <c r="T401">
        <v>152</v>
      </c>
      <c r="U401">
        <v>16800.75</v>
      </c>
      <c r="V401">
        <v>268.83999999999997</v>
      </c>
      <c r="W401">
        <v>16531.91</v>
      </c>
      <c r="X401">
        <v>2561.7199999999998</v>
      </c>
      <c r="Y401" t="s">
        <v>47</v>
      </c>
      <c r="Z401">
        <v>13366.56</v>
      </c>
      <c r="AA401">
        <v>4569.6999999999989</v>
      </c>
    </row>
    <row r="402" spans="1:27" x14ac:dyDescent="0.3">
      <c r="A402" t="s">
        <v>949</v>
      </c>
      <c r="B402" s="1">
        <v>45166</v>
      </c>
      <c r="C402" t="s">
        <v>544</v>
      </c>
      <c r="D402" t="s">
        <v>287</v>
      </c>
      <c r="E402">
        <v>3</v>
      </c>
      <c r="F402" t="s">
        <v>78</v>
      </c>
      <c r="G402">
        <v>10</v>
      </c>
      <c r="H402" t="s">
        <v>545</v>
      </c>
      <c r="I402" t="s">
        <v>30</v>
      </c>
      <c r="J402">
        <v>24</v>
      </c>
      <c r="K402" t="s">
        <v>60</v>
      </c>
      <c r="L402" t="s">
        <v>32</v>
      </c>
      <c r="M402" s="1">
        <v>44885</v>
      </c>
      <c r="N402" t="s">
        <v>33</v>
      </c>
      <c r="O402" t="s">
        <v>288</v>
      </c>
      <c r="P402" t="s">
        <v>68</v>
      </c>
      <c r="Q402" t="s">
        <v>46</v>
      </c>
      <c r="R402">
        <v>2345.7800000000002</v>
      </c>
      <c r="S402">
        <v>2891.96</v>
      </c>
      <c r="T402">
        <v>122</v>
      </c>
      <c r="U402">
        <v>18948.099999999999</v>
      </c>
      <c r="V402">
        <v>272.26</v>
      </c>
      <c r="W402">
        <v>18675.84</v>
      </c>
      <c r="X402">
        <v>3627.56</v>
      </c>
      <c r="Y402" t="s">
        <v>56</v>
      </c>
      <c r="Z402">
        <v>8675.880000000001</v>
      </c>
      <c r="AA402">
        <v>1638.5399999999995</v>
      </c>
    </row>
    <row r="403" spans="1:27" x14ac:dyDescent="0.3">
      <c r="A403" t="s">
        <v>950</v>
      </c>
      <c r="B403" s="1">
        <v>45275</v>
      </c>
      <c r="C403" t="s">
        <v>951</v>
      </c>
      <c r="D403" t="s">
        <v>77</v>
      </c>
      <c r="E403">
        <v>5</v>
      </c>
      <c r="F403" t="s">
        <v>28</v>
      </c>
      <c r="G403">
        <v>21</v>
      </c>
      <c r="H403" t="s">
        <v>952</v>
      </c>
      <c r="I403" t="s">
        <v>30</v>
      </c>
      <c r="J403">
        <v>54</v>
      </c>
      <c r="K403" t="s">
        <v>73</v>
      </c>
      <c r="L403" t="s">
        <v>53</v>
      </c>
      <c r="M403" s="1">
        <v>45663</v>
      </c>
      <c r="N403" t="s">
        <v>33</v>
      </c>
      <c r="O403" t="s">
        <v>82</v>
      </c>
      <c r="P403" t="s">
        <v>35</v>
      </c>
      <c r="Q403" t="s">
        <v>46</v>
      </c>
      <c r="R403">
        <v>1607.82</v>
      </c>
      <c r="S403">
        <v>2197.14</v>
      </c>
      <c r="T403">
        <v>27</v>
      </c>
      <c r="U403">
        <v>7953.94</v>
      </c>
      <c r="V403">
        <v>785.17</v>
      </c>
      <c r="W403">
        <v>7168.77</v>
      </c>
      <c r="X403">
        <v>1355.54</v>
      </c>
      <c r="Y403" t="s">
        <v>37</v>
      </c>
      <c r="Z403">
        <v>10985.699999999999</v>
      </c>
      <c r="AA403">
        <v>2946.5999999999995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6888-92D3-49DE-84DC-295692865B84}">
  <sheetPr codeName="Sheet2"/>
  <dimension ref="A3:D25"/>
  <sheetViews>
    <sheetView zoomScale="72" workbookViewId="0">
      <selection activeCell="E25" sqref="E25"/>
    </sheetView>
  </sheetViews>
  <sheetFormatPr defaultRowHeight="14.4" x14ac:dyDescent="0.3"/>
  <cols>
    <col min="1" max="1" width="16.109375" bestFit="1" customWidth="1"/>
    <col min="2" max="2" width="19.5546875" bestFit="1" customWidth="1"/>
    <col min="3" max="3" width="11.5546875" bestFit="1" customWidth="1"/>
    <col min="4" max="4" width="16" bestFit="1" customWidth="1"/>
  </cols>
  <sheetData>
    <row r="3" spans="1:3" x14ac:dyDescent="0.3">
      <c r="A3" s="2" t="s">
        <v>970</v>
      </c>
    </row>
    <row r="4" spans="1:3" x14ac:dyDescent="0.3">
      <c r="A4" s="3" t="s">
        <v>967</v>
      </c>
      <c r="B4">
        <v>3466275.0099999961</v>
      </c>
      <c r="C4" t="str">
        <f>IF(B4&gt;=10000000,ROUND(B4/10000000,2)&amp;" Cr",
 IF(B4&gt;=100000,ROUND(B4/100000,2)&amp;" L",
 IF(B4&gt;=1000,ROUND(B4/1000,1)&amp;" K",
 B4)))</f>
        <v>34.66 L</v>
      </c>
    </row>
    <row r="5" spans="1:3" x14ac:dyDescent="0.3">
      <c r="A5" s="3" t="s">
        <v>971</v>
      </c>
      <c r="B5">
        <v>400</v>
      </c>
    </row>
    <row r="6" spans="1:3" x14ac:dyDescent="0.3">
      <c r="A6" s="3" t="s">
        <v>968</v>
      </c>
      <c r="B6">
        <v>997291.68999999971</v>
      </c>
    </row>
    <row r="7" spans="1:3" x14ac:dyDescent="0.3">
      <c r="A7" s="3" t="s">
        <v>969</v>
      </c>
      <c r="B7">
        <v>400</v>
      </c>
    </row>
    <row r="8" spans="1:3" x14ac:dyDescent="0.3">
      <c r="A8" s="3" t="s">
        <v>972</v>
      </c>
      <c r="B8" s="5">
        <f>GETPIVOTDATA("Sum of Final_Sales",$A$3)/GETPIVOTDATA("Count of Order_ID",$A$3)</f>
        <v>8665.6875249999903</v>
      </c>
      <c r="C8" t="str">
        <f>IF(B8&gt;=10000000,ROUND(B8/10000000,2)&amp;" Cr",
 IF(B8&gt;=100000,ROUND(B8/100000,2)&amp;" L",
 IF(B8&gt;=1000,ROUND(B8/1000,1)&amp;" K",
 B8)))</f>
        <v>8.7 K</v>
      </c>
    </row>
    <row r="17" spans="1:4" x14ac:dyDescent="0.3">
      <c r="A17" t="s">
        <v>980</v>
      </c>
      <c r="B17" t="s">
        <v>971</v>
      </c>
      <c r="C17" t="s">
        <v>968</v>
      </c>
      <c r="D17" t="s">
        <v>969</v>
      </c>
    </row>
    <row r="18" spans="1:4" x14ac:dyDescent="0.3">
      <c r="A18" s="8">
        <v>5390211.6799999932</v>
      </c>
      <c r="B18">
        <v>400</v>
      </c>
      <c r="C18" s="9">
        <v>997291.68999999971</v>
      </c>
      <c r="D18">
        <v>400</v>
      </c>
    </row>
    <row r="20" spans="1:4" x14ac:dyDescent="0.3">
      <c r="B20" t="s">
        <v>981</v>
      </c>
    </row>
    <row r="21" spans="1:4" x14ac:dyDescent="0.3">
      <c r="B21" s="9">
        <f>GETPIVOTDATA("Sum of Total sales",$A$17)/GETPIVOTDATA("Count of Order_ID",$A$17)</f>
        <v>13475.529199999983</v>
      </c>
    </row>
    <row r="25" spans="1:4" x14ac:dyDescent="0.3">
      <c r="D25" s="7">
        <v>1000000000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4870-F0E1-428A-8A19-D1E23BA7C792}">
  <sheetPr codeName="Sheet3"/>
  <dimension ref="A3:D17"/>
  <sheetViews>
    <sheetView workbookViewId="0">
      <selection activeCell="H6" sqref="H6"/>
    </sheetView>
  </sheetViews>
  <sheetFormatPr defaultRowHeight="14.4" x14ac:dyDescent="0.3"/>
  <cols>
    <col min="1" max="1" width="12.44140625" bestFit="1" customWidth="1"/>
    <col min="2" max="2" width="16.5546875" bestFit="1" customWidth="1"/>
  </cols>
  <sheetData>
    <row r="3" spans="1:4" x14ac:dyDescent="0.3">
      <c r="A3" s="2" t="s">
        <v>953</v>
      </c>
      <c r="B3" t="s">
        <v>967</v>
      </c>
    </row>
    <row r="4" spans="1:4" x14ac:dyDescent="0.3">
      <c r="A4" s="3" t="s">
        <v>973</v>
      </c>
      <c r="B4" s="6">
        <v>3466275.01</v>
      </c>
      <c r="D4" t="s">
        <v>974</v>
      </c>
    </row>
    <row r="5" spans="1:4" x14ac:dyDescent="0.3">
      <c r="A5" s="4" t="s">
        <v>955</v>
      </c>
      <c r="B5" s="6">
        <v>287320.19</v>
      </c>
    </row>
    <row r="6" spans="1:4" x14ac:dyDescent="0.3">
      <c r="A6" s="4" t="s">
        <v>956</v>
      </c>
      <c r="B6" s="6">
        <v>377376.56000000017</v>
      </c>
    </row>
    <row r="7" spans="1:4" x14ac:dyDescent="0.3">
      <c r="A7" s="4" t="s">
        <v>957</v>
      </c>
      <c r="B7" s="6">
        <v>240007.88999999993</v>
      </c>
    </row>
    <row r="8" spans="1:4" x14ac:dyDescent="0.3">
      <c r="A8" s="4" t="s">
        <v>958</v>
      </c>
      <c r="B8" s="6">
        <v>258282.45000000004</v>
      </c>
    </row>
    <row r="9" spans="1:4" x14ac:dyDescent="0.3">
      <c r="A9" s="4" t="s">
        <v>959</v>
      </c>
      <c r="B9" s="6">
        <v>299300.80999999994</v>
      </c>
    </row>
    <row r="10" spans="1:4" x14ac:dyDescent="0.3">
      <c r="A10" s="4" t="s">
        <v>960</v>
      </c>
      <c r="B10" s="6">
        <v>282709.02999999997</v>
      </c>
    </row>
    <row r="11" spans="1:4" x14ac:dyDescent="0.3">
      <c r="A11" s="4" t="s">
        <v>961</v>
      </c>
      <c r="B11" s="6">
        <v>254616.48000000004</v>
      </c>
    </row>
    <row r="12" spans="1:4" x14ac:dyDescent="0.3">
      <c r="A12" s="4" t="s">
        <v>962</v>
      </c>
      <c r="B12" s="6">
        <v>321221.52</v>
      </c>
    </row>
    <row r="13" spans="1:4" x14ac:dyDescent="0.3">
      <c r="A13" s="4" t="s">
        <v>963</v>
      </c>
      <c r="B13" s="6">
        <v>278194.43</v>
      </c>
    </row>
    <row r="14" spans="1:4" x14ac:dyDescent="0.3">
      <c r="A14" s="4" t="s">
        <v>964</v>
      </c>
      <c r="B14" s="6">
        <v>274796.86</v>
      </c>
    </row>
    <row r="15" spans="1:4" x14ac:dyDescent="0.3">
      <c r="A15" s="4" t="s">
        <v>965</v>
      </c>
      <c r="B15" s="6">
        <v>252582.69</v>
      </c>
    </row>
    <row r="16" spans="1:4" x14ac:dyDescent="0.3">
      <c r="A16" s="4" t="s">
        <v>966</v>
      </c>
      <c r="B16" s="6">
        <v>339866.1</v>
      </c>
    </row>
    <row r="17" spans="1:2" x14ac:dyDescent="0.3">
      <c r="A17" s="3" t="s">
        <v>954</v>
      </c>
      <c r="B17" s="6">
        <v>3466275.01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CDE9-7668-4E63-A6D9-CC538C3C956B}">
  <sheetPr codeName="Sheet4"/>
  <dimension ref="A3:C8"/>
  <sheetViews>
    <sheetView workbookViewId="0">
      <selection activeCell="D26" sqref="D26"/>
    </sheetView>
  </sheetViews>
  <sheetFormatPr defaultRowHeight="14.4" x14ac:dyDescent="0.3"/>
  <cols>
    <col min="1" max="1" width="12.44140625" bestFit="1" customWidth="1"/>
    <col min="2" max="2" width="15.88671875" bestFit="1" customWidth="1"/>
  </cols>
  <sheetData>
    <row r="3" spans="1:3" x14ac:dyDescent="0.3">
      <c r="A3" s="2" t="s">
        <v>953</v>
      </c>
      <c r="B3" t="s">
        <v>980</v>
      </c>
    </row>
    <row r="4" spans="1:3" x14ac:dyDescent="0.3">
      <c r="A4" s="3" t="s">
        <v>110</v>
      </c>
      <c r="B4">
        <v>1139280.8700000003</v>
      </c>
    </row>
    <row r="5" spans="1:3" x14ac:dyDescent="0.3">
      <c r="A5" s="3" t="s">
        <v>94</v>
      </c>
      <c r="B5">
        <v>1188031.2499999998</v>
      </c>
      <c r="C5" t="s">
        <v>975</v>
      </c>
    </row>
    <row r="6" spans="1:3" x14ac:dyDescent="0.3">
      <c r="A6" s="3" t="s">
        <v>35</v>
      </c>
      <c r="B6">
        <v>1720201.8699999994</v>
      </c>
    </row>
    <row r="7" spans="1:3" x14ac:dyDescent="0.3">
      <c r="A7" s="3" t="s">
        <v>68</v>
      </c>
      <c r="B7">
        <v>1342697.6900000002</v>
      </c>
    </row>
    <row r="8" spans="1:3" x14ac:dyDescent="0.3">
      <c r="A8" s="3" t="s">
        <v>954</v>
      </c>
      <c r="B8">
        <v>5390211.6799999997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C5CB-8A8E-400E-A867-2DAF42EDEF7A}">
  <sheetPr codeName="Sheet5"/>
  <dimension ref="A3:B8"/>
  <sheetViews>
    <sheetView workbookViewId="0">
      <selection activeCell="A3" sqref="A3"/>
    </sheetView>
  </sheetViews>
  <sheetFormatPr defaultRowHeight="14.4" x14ac:dyDescent="0.3"/>
  <cols>
    <col min="1" max="1" width="12.44140625" bestFit="1" customWidth="1"/>
    <col min="2" max="2" width="11.5546875" bestFit="1" customWidth="1"/>
    <col min="3" max="3" width="19.21875" bestFit="1" customWidth="1"/>
  </cols>
  <sheetData>
    <row r="3" spans="1:2" x14ac:dyDescent="0.3">
      <c r="A3" s="2" t="s">
        <v>953</v>
      </c>
      <c r="B3" t="s">
        <v>968</v>
      </c>
    </row>
    <row r="4" spans="1:2" x14ac:dyDescent="0.3">
      <c r="A4" s="3" t="s">
        <v>111</v>
      </c>
      <c r="B4" s="6">
        <v>217105.83000000007</v>
      </c>
    </row>
    <row r="5" spans="1:2" x14ac:dyDescent="0.3">
      <c r="A5" s="3" t="s">
        <v>36</v>
      </c>
      <c r="B5" s="6">
        <v>132575.31000000003</v>
      </c>
    </row>
    <row r="6" spans="1:2" x14ac:dyDescent="0.3">
      <c r="A6" s="3" t="s">
        <v>120</v>
      </c>
      <c r="B6" s="6">
        <v>235376.71000000002</v>
      </c>
    </row>
    <row r="7" spans="1:2" x14ac:dyDescent="0.3">
      <c r="A7" s="3" t="s">
        <v>46</v>
      </c>
      <c r="B7" s="6">
        <v>412233.84</v>
      </c>
    </row>
    <row r="8" spans="1:2" x14ac:dyDescent="0.3">
      <c r="A8" s="3" t="s">
        <v>954</v>
      </c>
      <c r="B8" s="6">
        <v>997291.69000000018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2774-5CC4-415E-94CC-6FABB2AE4391}">
  <sheetPr codeName="Sheet6"/>
  <dimension ref="A3:D10"/>
  <sheetViews>
    <sheetView workbookViewId="0">
      <selection activeCell="AI15" sqref="AI15"/>
    </sheetView>
  </sheetViews>
  <sheetFormatPr defaultRowHeight="14.4" x14ac:dyDescent="0.3"/>
  <cols>
    <col min="1" max="1" width="12.44140625" bestFit="1" customWidth="1"/>
    <col min="2" max="2" width="15.88671875" bestFit="1" customWidth="1"/>
  </cols>
  <sheetData>
    <row r="3" spans="1:4" x14ac:dyDescent="0.3">
      <c r="A3" s="2" t="s">
        <v>953</v>
      </c>
      <c r="B3" t="s">
        <v>980</v>
      </c>
    </row>
    <row r="4" spans="1:4" x14ac:dyDescent="0.3">
      <c r="A4" s="3" t="s">
        <v>53</v>
      </c>
      <c r="B4" s="6">
        <v>1150553.9500000002</v>
      </c>
    </row>
    <row r="5" spans="1:4" x14ac:dyDescent="0.3">
      <c r="A5" s="3" t="s">
        <v>32</v>
      </c>
      <c r="B5" s="6">
        <v>825447.35000000056</v>
      </c>
    </row>
    <row r="6" spans="1:4" x14ac:dyDescent="0.3">
      <c r="A6" s="3" t="s">
        <v>81</v>
      </c>
      <c r="B6" s="6">
        <v>1045926.2</v>
      </c>
    </row>
    <row r="7" spans="1:4" x14ac:dyDescent="0.3">
      <c r="A7" s="3" t="s">
        <v>66</v>
      </c>
      <c r="B7" s="6">
        <v>665596.22</v>
      </c>
      <c r="D7" t="s">
        <v>976</v>
      </c>
    </row>
    <row r="8" spans="1:4" x14ac:dyDescent="0.3">
      <c r="A8" s="3" t="s">
        <v>43</v>
      </c>
      <c r="B8" s="6">
        <v>873621.79</v>
      </c>
    </row>
    <row r="9" spans="1:4" x14ac:dyDescent="0.3">
      <c r="A9" s="3" t="s">
        <v>108</v>
      </c>
      <c r="B9" s="6">
        <v>829066.16999999981</v>
      </c>
    </row>
    <row r="10" spans="1:4" x14ac:dyDescent="0.3">
      <c r="A10" s="3" t="s">
        <v>954</v>
      </c>
      <c r="B10" s="6">
        <v>5390211.6800000006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D10C-F1F1-4B81-91F4-281F348842C4}">
  <sheetPr codeName="Sheet7"/>
  <dimension ref="A1:AA401"/>
  <sheetViews>
    <sheetView topLeftCell="T1" workbookViewId="0">
      <selection activeCell="AD8" sqref="AD8"/>
    </sheetView>
  </sheetViews>
  <sheetFormatPr defaultRowHeight="14.4" x14ac:dyDescent="0.3"/>
  <cols>
    <col min="1" max="1" width="10.5546875" bestFit="1" customWidth="1"/>
    <col min="2" max="2" width="12.6640625" bestFit="1" customWidth="1"/>
    <col min="3" max="3" width="13.88671875" bestFit="1" customWidth="1"/>
    <col min="4" max="4" width="12.33203125" bestFit="1" customWidth="1"/>
    <col min="5" max="5" width="10.33203125" bestFit="1" customWidth="1"/>
    <col min="6" max="6" width="16" bestFit="1" customWidth="1"/>
    <col min="7" max="7" width="20.88671875" bestFit="1" customWidth="1"/>
    <col min="8" max="8" width="16.88671875" bestFit="1" customWidth="1"/>
    <col min="9" max="9" width="9.33203125" bestFit="1" customWidth="1"/>
    <col min="10" max="10" width="6.21875" bestFit="1" customWidth="1"/>
    <col min="11" max="11" width="10.44140625" bestFit="1" customWidth="1"/>
    <col min="12" max="12" width="11.21875" bestFit="1" customWidth="1"/>
    <col min="13" max="13" width="11.109375" bestFit="1" customWidth="1"/>
    <col min="14" max="14" width="19.6640625" bestFit="1" customWidth="1"/>
    <col min="15" max="15" width="15.6640625" bestFit="1" customWidth="1"/>
    <col min="16" max="16" width="10.5546875" bestFit="1" customWidth="1"/>
    <col min="17" max="17" width="8.109375" bestFit="1" customWidth="1"/>
    <col min="18" max="18" width="12.109375" bestFit="1" customWidth="1"/>
    <col min="19" max="19" width="14" bestFit="1" customWidth="1"/>
    <col min="20" max="20" width="16" bestFit="1" customWidth="1"/>
    <col min="21" max="21" width="14.5546875" bestFit="1" customWidth="1"/>
    <col min="22" max="22" width="17.88671875" bestFit="1" customWidth="1"/>
    <col min="23" max="23" width="12.6640625" bestFit="1" customWidth="1"/>
    <col min="24" max="24" width="8" bestFit="1" customWidth="1"/>
    <col min="25" max="25" width="14.109375" bestFit="1" customWidth="1"/>
    <col min="26" max="26" width="12" bestFit="1" customWidth="1"/>
    <col min="27" max="27" width="9"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978</v>
      </c>
      <c r="AA1" t="s">
        <v>979</v>
      </c>
    </row>
    <row r="2" spans="1:27" x14ac:dyDescent="0.3">
      <c r="A2" t="s">
        <v>25</v>
      </c>
      <c r="B2" s="1">
        <v>45103</v>
      </c>
      <c r="C2" t="s">
        <v>26</v>
      </c>
      <c r="D2" t="s">
        <v>27</v>
      </c>
      <c r="E2">
        <v>2</v>
      </c>
      <c r="F2" t="s">
        <v>28</v>
      </c>
      <c r="G2">
        <v>8</v>
      </c>
      <c r="H2" t="s">
        <v>29</v>
      </c>
      <c r="I2" t="s">
        <v>30</v>
      </c>
      <c r="J2">
        <v>60</v>
      </c>
      <c r="K2" t="s">
        <v>31</v>
      </c>
      <c r="L2" t="s">
        <v>32</v>
      </c>
      <c r="M2" s="1">
        <v>45672</v>
      </c>
      <c r="N2" t="s">
        <v>33</v>
      </c>
      <c r="O2" t="s">
        <v>34</v>
      </c>
      <c r="P2" t="s">
        <v>35</v>
      </c>
      <c r="Q2" t="s">
        <v>36</v>
      </c>
      <c r="R2">
        <v>4318.8599999999997</v>
      </c>
      <c r="S2">
        <v>4880.6400000000003</v>
      </c>
      <c r="T2">
        <v>149</v>
      </c>
      <c r="U2">
        <v>9025.2099999999991</v>
      </c>
      <c r="V2">
        <v>976.1</v>
      </c>
      <c r="W2">
        <v>8049.11</v>
      </c>
      <c r="X2">
        <v>4864.4799999999996</v>
      </c>
      <c r="Y2" t="s">
        <v>37</v>
      </c>
      <c r="Z2">
        <v>9761.2800000000007</v>
      </c>
      <c r="AA2">
        <v>1123.5600000000013</v>
      </c>
    </row>
    <row r="3" spans="1:27" x14ac:dyDescent="0.3">
      <c r="A3" t="s">
        <v>38</v>
      </c>
      <c r="B3" s="1">
        <v>44960</v>
      </c>
      <c r="C3" t="s">
        <v>39</v>
      </c>
      <c r="D3" t="s">
        <v>40</v>
      </c>
      <c r="E3">
        <v>4</v>
      </c>
      <c r="F3" t="s">
        <v>28</v>
      </c>
      <c r="G3">
        <v>5</v>
      </c>
      <c r="H3" t="s">
        <v>41</v>
      </c>
      <c r="I3" t="s">
        <v>30</v>
      </c>
      <c r="J3">
        <v>46</v>
      </c>
      <c r="K3" t="s">
        <v>42</v>
      </c>
      <c r="L3" t="s">
        <v>43</v>
      </c>
      <c r="M3" s="1">
        <v>45223</v>
      </c>
      <c r="N3" t="s">
        <v>44</v>
      </c>
      <c r="O3" t="s">
        <v>45</v>
      </c>
      <c r="P3" t="s">
        <v>35</v>
      </c>
      <c r="Q3" t="s">
        <v>46</v>
      </c>
      <c r="R3">
        <v>1093.9000000000001</v>
      </c>
      <c r="S3">
        <v>1507.34</v>
      </c>
      <c r="T3">
        <v>11</v>
      </c>
      <c r="U3">
        <v>19967.59</v>
      </c>
      <c r="V3">
        <v>81.7</v>
      </c>
      <c r="W3">
        <v>19885.89</v>
      </c>
      <c r="X3">
        <v>3963.39</v>
      </c>
      <c r="Y3" t="s">
        <v>47</v>
      </c>
      <c r="Z3">
        <v>6029.36</v>
      </c>
      <c r="AA3">
        <v>1653.7599999999993</v>
      </c>
    </row>
    <row r="4" spans="1:27" x14ac:dyDescent="0.3">
      <c r="A4" t="s">
        <v>48</v>
      </c>
      <c r="B4" s="1">
        <v>44997</v>
      </c>
      <c r="C4" t="s">
        <v>49</v>
      </c>
      <c r="D4" t="s">
        <v>50</v>
      </c>
      <c r="E4">
        <v>3</v>
      </c>
      <c r="F4" t="s">
        <v>51</v>
      </c>
      <c r="G4">
        <v>0</v>
      </c>
      <c r="H4" t="s">
        <v>52</v>
      </c>
      <c r="I4" t="s">
        <v>30</v>
      </c>
      <c r="J4">
        <v>24</v>
      </c>
      <c r="K4" t="s">
        <v>53</v>
      </c>
      <c r="L4" t="s">
        <v>43</v>
      </c>
      <c r="M4" s="1">
        <v>45721</v>
      </c>
      <c r="N4" t="s">
        <v>54</v>
      </c>
      <c r="O4" t="s">
        <v>55</v>
      </c>
      <c r="P4" t="s">
        <v>35</v>
      </c>
      <c r="Q4" t="s">
        <v>46</v>
      </c>
      <c r="R4">
        <v>3612.18</v>
      </c>
      <c r="S4">
        <v>3996.91</v>
      </c>
      <c r="T4">
        <v>92</v>
      </c>
      <c r="U4">
        <v>3157.46</v>
      </c>
      <c r="V4">
        <v>599.99</v>
      </c>
      <c r="W4">
        <v>2557.4699999999998</v>
      </c>
      <c r="X4">
        <v>930.64</v>
      </c>
      <c r="Y4" t="s">
        <v>56</v>
      </c>
      <c r="Z4">
        <v>11990.73</v>
      </c>
      <c r="AA4">
        <v>1154.19</v>
      </c>
    </row>
    <row r="5" spans="1:27" x14ac:dyDescent="0.3">
      <c r="A5" t="s">
        <v>57</v>
      </c>
      <c r="B5" s="1">
        <v>45181</v>
      </c>
      <c r="C5" t="s">
        <v>58</v>
      </c>
      <c r="D5" t="s">
        <v>40</v>
      </c>
      <c r="E5">
        <v>4</v>
      </c>
      <c r="F5" t="s">
        <v>51</v>
      </c>
      <c r="G5">
        <v>23</v>
      </c>
      <c r="H5" t="s">
        <v>59</v>
      </c>
      <c r="I5" t="s">
        <v>30</v>
      </c>
      <c r="J5">
        <v>25</v>
      </c>
      <c r="K5" t="s">
        <v>60</v>
      </c>
      <c r="L5" t="s">
        <v>53</v>
      </c>
      <c r="M5" s="1">
        <v>44898</v>
      </c>
      <c r="N5" t="s">
        <v>44</v>
      </c>
      <c r="O5" t="s">
        <v>45</v>
      </c>
      <c r="P5" t="s">
        <v>35</v>
      </c>
      <c r="Q5" t="s">
        <v>46</v>
      </c>
      <c r="R5">
        <v>1093.9000000000001</v>
      </c>
      <c r="S5">
        <v>1507.34</v>
      </c>
      <c r="T5">
        <v>11</v>
      </c>
      <c r="U5">
        <v>1080.02</v>
      </c>
      <c r="V5">
        <v>82.42</v>
      </c>
      <c r="W5">
        <v>997.6</v>
      </c>
      <c r="X5">
        <v>2165.17</v>
      </c>
      <c r="Y5" t="s">
        <v>47</v>
      </c>
      <c r="Z5">
        <v>6029.36</v>
      </c>
      <c r="AA5">
        <v>1653.7599999999993</v>
      </c>
    </row>
    <row r="6" spans="1:27" x14ac:dyDescent="0.3">
      <c r="A6" t="s">
        <v>61</v>
      </c>
      <c r="B6" s="1">
        <v>45272</v>
      </c>
      <c r="C6" t="s">
        <v>62</v>
      </c>
      <c r="D6" t="s">
        <v>63</v>
      </c>
      <c r="E6">
        <v>4</v>
      </c>
      <c r="F6" t="s">
        <v>51</v>
      </c>
      <c r="G6">
        <v>19</v>
      </c>
      <c r="H6" t="s">
        <v>64</v>
      </c>
      <c r="I6" t="s">
        <v>30</v>
      </c>
      <c r="J6">
        <v>25</v>
      </c>
      <c r="K6" t="s">
        <v>65</v>
      </c>
      <c r="L6" t="s">
        <v>66</v>
      </c>
      <c r="M6" s="1">
        <v>44951</v>
      </c>
      <c r="N6" t="s">
        <v>54</v>
      </c>
      <c r="O6" t="s">
        <v>67</v>
      </c>
      <c r="P6" t="s">
        <v>68</v>
      </c>
      <c r="Q6" t="s">
        <v>46</v>
      </c>
      <c r="R6">
        <v>2961.83</v>
      </c>
      <c r="S6">
        <v>4189.8100000000004</v>
      </c>
      <c r="T6">
        <v>165</v>
      </c>
      <c r="U6">
        <v>15847.56</v>
      </c>
      <c r="V6">
        <v>3465</v>
      </c>
      <c r="W6">
        <v>12382.56</v>
      </c>
      <c r="X6">
        <v>1241.1500000000001</v>
      </c>
      <c r="Y6" t="s">
        <v>37</v>
      </c>
      <c r="Z6">
        <v>16759.240000000002</v>
      </c>
      <c r="AA6">
        <v>4911.9200000000019</v>
      </c>
    </row>
    <row r="7" spans="1:27" x14ac:dyDescent="0.3">
      <c r="A7" t="s">
        <v>69</v>
      </c>
      <c r="B7" s="1">
        <v>44936</v>
      </c>
      <c r="C7" t="s">
        <v>70</v>
      </c>
      <c r="D7" t="s">
        <v>71</v>
      </c>
      <c r="E7">
        <v>1</v>
      </c>
      <c r="F7" t="s">
        <v>51</v>
      </c>
      <c r="G7">
        <v>2</v>
      </c>
      <c r="H7" t="s">
        <v>72</v>
      </c>
      <c r="I7" t="s">
        <v>30</v>
      </c>
      <c r="J7">
        <v>56</v>
      </c>
      <c r="K7" t="s">
        <v>73</v>
      </c>
      <c r="L7" t="s">
        <v>32</v>
      </c>
      <c r="M7" s="1">
        <v>45619</v>
      </c>
      <c r="N7" t="s">
        <v>54</v>
      </c>
      <c r="O7" t="s">
        <v>74</v>
      </c>
      <c r="P7" t="s">
        <v>35</v>
      </c>
      <c r="Q7" t="s">
        <v>36</v>
      </c>
      <c r="R7">
        <v>3231.26</v>
      </c>
      <c r="S7">
        <v>4308.05</v>
      </c>
      <c r="T7">
        <v>21</v>
      </c>
      <c r="U7">
        <v>861.96</v>
      </c>
      <c r="V7">
        <v>160.43</v>
      </c>
      <c r="W7">
        <v>701.53</v>
      </c>
      <c r="X7">
        <v>4197.28</v>
      </c>
      <c r="Y7" t="s">
        <v>47</v>
      </c>
      <c r="Z7">
        <v>4308.05</v>
      </c>
      <c r="AA7">
        <v>1076.79</v>
      </c>
    </row>
    <row r="8" spans="1:27" x14ac:dyDescent="0.3">
      <c r="A8" t="s">
        <v>75</v>
      </c>
      <c r="B8" s="1">
        <v>45262</v>
      </c>
      <c r="C8" t="s">
        <v>76</v>
      </c>
      <c r="D8" t="s">
        <v>77</v>
      </c>
      <c r="E8">
        <v>2</v>
      </c>
      <c r="F8" t="s">
        <v>78</v>
      </c>
      <c r="G8">
        <v>6</v>
      </c>
      <c r="H8" t="s">
        <v>79</v>
      </c>
      <c r="I8" t="s">
        <v>80</v>
      </c>
      <c r="J8">
        <v>31</v>
      </c>
      <c r="K8" t="s">
        <v>42</v>
      </c>
      <c r="L8" t="s">
        <v>81</v>
      </c>
      <c r="M8" s="1">
        <v>44760</v>
      </c>
      <c r="N8" t="s">
        <v>33</v>
      </c>
      <c r="O8" t="s">
        <v>82</v>
      </c>
      <c r="P8" t="s">
        <v>35</v>
      </c>
      <c r="Q8" t="s">
        <v>46</v>
      </c>
      <c r="R8">
        <v>1607.82</v>
      </c>
      <c r="S8">
        <v>2197.14</v>
      </c>
      <c r="T8">
        <v>27</v>
      </c>
      <c r="U8">
        <v>10003.5</v>
      </c>
      <c r="V8">
        <v>2399.61</v>
      </c>
      <c r="W8">
        <v>7603.89</v>
      </c>
      <c r="X8">
        <v>1231.7</v>
      </c>
      <c r="Y8" t="s">
        <v>83</v>
      </c>
      <c r="Z8">
        <v>4394.28</v>
      </c>
      <c r="AA8">
        <v>1178.6399999999999</v>
      </c>
    </row>
    <row r="9" spans="1:27" x14ac:dyDescent="0.3">
      <c r="A9" t="s">
        <v>84</v>
      </c>
      <c r="B9" s="1">
        <v>45214</v>
      </c>
      <c r="C9" t="s">
        <v>85</v>
      </c>
      <c r="D9" t="s">
        <v>71</v>
      </c>
      <c r="E9">
        <v>5</v>
      </c>
      <c r="F9" t="s">
        <v>28</v>
      </c>
      <c r="G9">
        <v>0</v>
      </c>
      <c r="H9" t="s">
        <v>86</v>
      </c>
      <c r="I9" t="s">
        <v>80</v>
      </c>
      <c r="J9">
        <v>35</v>
      </c>
      <c r="K9" t="s">
        <v>73</v>
      </c>
      <c r="L9" t="s">
        <v>81</v>
      </c>
      <c r="M9" s="1">
        <v>45348</v>
      </c>
      <c r="N9" t="s">
        <v>33</v>
      </c>
      <c r="O9" t="s">
        <v>74</v>
      </c>
      <c r="P9" t="s">
        <v>35</v>
      </c>
      <c r="Q9" t="s">
        <v>36</v>
      </c>
      <c r="R9">
        <v>3231.26</v>
      </c>
      <c r="S9">
        <v>4308.05</v>
      </c>
      <c r="T9">
        <v>21</v>
      </c>
      <c r="U9">
        <v>15201.83</v>
      </c>
      <c r="V9">
        <v>2049.09</v>
      </c>
      <c r="W9">
        <v>13152.74</v>
      </c>
      <c r="X9">
        <v>3686.74</v>
      </c>
      <c r="Y9" t="s">
        <v>47</v>
      </c>
      <c r="Z9">
        <v>21540.25</v>
      </c>
      <c r="AA9">
        <v>5383.95</v>
      </c>
    </row>
    <row r="10" spans="1:27" x14ac:dyDescent="0.3">
      <c r="A10" t="s">
        <v>87</v>
      </c>
      <c r="B10" s="1">
        <v>45281</v>
      </c>
      <c r="C10" t="s">
        <v>88</v>
      </c>
      <c r="D10" t="s">
        <v>89</v>
      </c>
      <c r="E10">
        <v>5</v>
      </c>
      <c r="F10" t="s">
        <v>90</v>
      </c>
      <c r="G10">
        <v>9</v>
      </c>
      <c r="H10" t="s">
        <v>91</v>
      </c>
      <c r="I10" t="s">
        <v>80</v>
      </c>
      <c r="J10">
        <v>58</v>
      </c>
      <c r="K10" t="s">
        <v>92</v>
      </c>
      <c r="L10" t="s">
        <v>43</v>
      </c>
      <c r="M10" s="1">
        <v>45131</v>
      </c>
      <c r="N10" t="s">
        <v>33</v>
      </c>
      <c r="O10" t="s">
        <v>93</v>
      </c>
      <c r="P10" t="s">
        <v>94</v>
      </c>
      <c r="Q10" t="s">
        <v>46</v>
      </c>
      <c r="R10">
        <v>1290.44</v>
      </c>
      <c r="S10">
        <v>1756.94</v>
      </c>
      <c r="T10">
        <v>226</v>
      </c>
      <c r="U10">
        <v>5505.06</v>
      </c>
      <c r="V10">
        <v>915.5</v>
      </c>
      <c r="W10">
        <v>4589.5600000000004</v>
      </c>
      <c r="X10">
        <v>2395.66</v>
      </c>
      <c r="Y10" t="s">
        <v>47</v>
      </c>
      <c r="Z10">
        <v>8784.7000000000007</v>
      </c>
      <c r="AA10">
        <v>2332.5</v>
      </c>
    </row>
    <row r="11" spans="1:27" x14ac:dyDescent="0.3">
      <c r="A11" t="s">
        <v>95</v>
      </c>
      <c r="B11" s="1">
        <v>45167</v>
      </c>
      <c r="C11" t="s">
        <v>58</v>
      </c>
      <c r="D11" t="s">
        <v>71</v>
      </c>
      <c r="E11">
        <v>6</v>
      </c>
      <c r="F11" t="s">
        <v>28</v>
      </c>
      <c r="G11">
        <v>23</v>
      </c>
      <c r="H11" t="s">
        <v>59</v>
      </c>
      <c r="I11" t="s">
        <v>30</v>
      </c>
      <c r="J11">
        <v>25</v>
      </c>
      <c r="K11" t="s">
        <v>60</v>
      </c>
      <c r="L11" t="s">
        <v>53</v>
      </c>
      <c r="M11" s="1">
        <v>44898</v>
      </c>
      <c r="N11" t="s">
        <v>44</v>
      </c>
      <c r="O11" t="s">
        <v>74</v>
      </c>
      <c r="P11" t="s">
        <v>35</v>
      </c>
      <c r="Q11" t="s">
        <v>36</v>
      </c>
      <c r="R11">
        <v>3231.26</v>
      </c>
      <c r="S11">
        <v>4308.05</v>
      </c>
      <c r="T11">
        <v>21</v>
      </c>
      <c r="U11">
        <v>15138.64</v>
      </c>
      <c r="V11">
        <v>505.28</v>
      </c>
      <c r="W11">
        <v>14633.36</v>
      </c>
      <c r="X11">
        <v>2122.0300000000002</v>
      </c>
      <c r="Y11" t="s">
        <v>47</v>
      </c>
      <c r="Z11">
        <v>25848.300000000003</v>
      </c>
      <c r="AA11">
        <v>6460.74</v>
      </c>
    </row>
    <row r="12" spans="1:27" x14ac:dyDescent="0.3">
      <c r="A12" t="s">
        <v>96</v>
      </c>
      <c r="B12" s="1">
        <v>45020</v>
      </c>
      <c r="C12" t="s">
        <v>97</v>
      </c>
      <c r="D12" t="s">
        <v>98</v>
      </c>
      <c r="E12">
        <v>1</v>
      </c>
      <c r="F12" t="s">
        <v>28</v>
      </c>
      <c r="G12">
        <v>15</v>
      </c>
      <c r="H12" t="s">
        <v>99</v>
      </c>
      <c r="I12" t="s">
        <v>80</v>
      </c>
      <c r="J12">
        <v>27</v>
      </c>
      <c r="K12" t="s">
        <v>31</v>
      </c>
      <c r="L12" t="s">
        <v>32</v>
      </c>
      <c r="M12" s="1">
        <v>44637</v>
      </c>
      <c r="N12" t="s">
        <v>33</v>
      </c>
      <c r="O12" t="s">
        <v>100</v>
      </c>
      <c r="P12" t="s">
        <v>94</v>
      </c>
      <c r="Q12" t="s">
        <v>36</v>
      </c>
      <c r="R12">
        <v>4225.4799999999996</v>
      </c>
      <c r="S12">
        <v>6100.15</v>
      </c>
      <c r="T12">
        <v>279</v>
      </c>
      <c r="U12">
        <v>2566.3200000000002</v>
      </c>
      <c r="V12">
        <v>558.59</v>
      </c>
      <c r="W12">
        <v>2007.73</v>
      </c>
      <c r="X12">
        <v>3619.57</v>
      </c>
      <c r="Y12" t="s">
        <v>83</v>
      </c>
      <c r="Z12">
        <v>6100.15</v>
      </c>
      <c r="AA12">
        <v>1874.67</v>
      </c>
    </row>
    <row r="13" spans="1:27" x14ac:dyDescent="0.3">
      <c r="A13" t="s">
        <v>101</v>
      </c>
      <c r="B13" s="1">
        <v>45228</v>
      </c>
      <c r="C13" t="s">
        <v>39</v>
      </c>
      <c r="D13" t="s">
        <v>102</v>
      </c>
      <c r="E13">
        <v>4</v>
      </c>
      <c r="F13" t="s">
        <v>78</v>
      </c>
      <c r="G13">
        <v>15</v>
      </c>
      <c r="H13" t="s">
        <v>41</v>
      </c>
      <c r="I13" t="s">
        <v>30</v>
      </c>
      <c r="J13">
        <v>46</v>
      </c>
      <c r="K13" t="s">
        <v>42</v>
      </c>
      <c r="L13" t="s">
        <v>43</v>
      </c>
      <c r="M13" s="1">
        <v>45223</v>
      </c>
      <c r="N13" t="s">
        <v>44</v>
      </c>
      <c r="O13" t="s">
        <v>103</v>
      </c>
      <c r="P13" t="s">
        <v>94</v>
      </c>
      <c r="Q13" t="s">
        <v>46</v>
      </c>
      <c r="R13">
        <v>4398.43</v>
      </c>
      <c r="S13">
        <v>6683.28</v>
      </c>
      <c r="T13">
        <v>152</v>
      </c>
      <c r="U13">
        <v>7967.58</v>
      </c>
      <c r="V13">
        <v>1173.22</v>
      </c>
      <c r="W13">
        <v>6794.36</v>
      </c>
      <c r="X13">
        <v>3460.93</v>
      </c>
      <c r="Y13" t="s">
        <v>37</v>
      </c>
      <c r="Z13">
        <v>26733.119999999999</v>
      </c>
      <c r="AA13">
        <v>9139.3999999999978</v>
      </c>
    </row>
    <row r="14" spans="1:27" x14ac:dyDescent="0.3">
      <c r="A14" t="s">
        <v>104</v>
      </c>
      <c r="B14" s="1">
        <v>44965</v>
      </c>
      <c r="C14" t="s">
        <v>105</v>
      </c>
      <c r="D14" t="s">
        <v>106</v>
      </c>
      <c r="E14">
        <v>5</v>
      </c>
      <c r="F14" t="s">
        <v>78</v>
      </c>
      <c r="G14">
        <v>15</v>
      </c>
      <c r="H14" t="s">
        <v>107</v>
      </c>
      <c r="I14" t="s">
        <v>80</v>
      </c>
      <c r="J14">
        <v>22</v>
      </c>
      <c r="K14" t="s">
        <v>60</v>
      </c>
      <c r="L14" t="s">
        <v>108</v>
      </c>
      <c r="M14" s="1">
        <v>45351</v>
      </c>
      <c r="N14" t="s">
        <v>54</v>
      </c>
      <c r="O14" t="s">
        <v>109</v>
      </c>
      <c r="P14" t="s">
        <v>110</v>
      </c>
      <c r="Q14" t="s">
        <v>111</v>
      </c>
      <c r="R14">
        <v>1622.17</v>
      </c>
      <c r="S14">
        <v>1993.72</v>
      </c>
      <c r="T14">
        <v>262</v>
      </c>
      <c r="U14">
        <v>14314.83</v>
      </c>
      <c r="V14">
        <v>2265.4499999999998</v>
      </c>
      <c r="W14">
        <v>12049.38</v>
      </c>
      <c r="X14">
        <v>297.77999999999997</v>
      </c>
      <c r="Y14" t="s">
        <v>56</v>
      </c>
      <c r="Z14">
        <v>9968.6</v>
      </c>
      <c r="AA14">
        <v>1857.7499999999998</v>
      </c>
    </row>
    <row r="15" spans="1:27" x14ac:dyDescent="0.3">
      <c r="A15" t="s">
        <v>112</v>
      </c>
      <c r="B15" s="1">
        <v>44999</v>
      </c>
      <c r="C15" t="s">
        <v>113</v>
      </c>
      <c r="D15" t="s">
        <v>102</v>
      </c>
      <c r="E15">
        <v>5</v>
      </c>
      <c r="F15" t="s">
        <v>90</v>
      </c>
      <c r="G15">
        <v>11</v>
      </c>
      <c r="H15" t="s">
        <v>114</v>
      </c>
      <c r="I15" t="s">
        <v>30</v>
      </c>
      <c r="J15">
        <v>21</v>
      </c>
      <c r="K15" t="s">
        <v>31</v>
      </c>
      <c r="L15" t="s">
        <v>66</v>
      </c>
      <c r="M15" s="1">
        <v>45649</v>
      </c>
      <c r="N15" t="s">
        <v>33</v>
      </c>
      <c r="O15" t="s">
        <v>103</v>
      </c>
      <c r="P15" t="s">
        <v>94</v>
      </c>
      <c r="Q15" t="s">
        <v>46</v>
      </c>
      <c r="R15">
        <v>4398.43</v>
      </c>
      <c r="S15">
        <v>6683.28</v>
      </c>
      <c r="T15">
        <v>152</v>
      </c>
      <c r="U15">
        <v>13683.07</v>
      </c>
      <c r="V15">
        <v>2065.58</v>
      </c>
      <c r="W15">
        <v>11617.49</v>
      </c>
      <c r="X15">
        <v>3745.81</v>
      </c>
      <c r="Y15" t="s">
        <v>83</v>
      </c>
      <c r="Z15">
        <v>33416.400000000001</v>
      </c>
      <c r="AA15">
        <v>11424.249999999996</v>
      </c>
    </row>
    <row r="16" spans="1:27" x14ac:dyDescent="0.3">
      <c r="A16" t="s">
        <v>115</v>
      </c>
      <c r="B16" s="1">
        <v>45190</v>
      </c>
      <c r="C16" t="s">
        <v>116</v>
      </c>
      <c r="D16" t="s">
        <v>117</v>
      </c>
      <c r="E16">
        <v>1</v>
      </c>
      <c r="F16" t="s">
        <v>51</v>
      </c>
      <c r="G16">
        <v>0</v>
      </c>
      <c r="H16" t="s">
        <v>118</v>
      </c>
      <c r="I16" t="s">
        <v>80</v>
      </c>
      <c r="J16">
        <v>52</v>
      </c>
      <c r="K16" t="s">
        <v>31</v>
      </c>
      <c r="L16" t="s">
        <v>43</v>
      </c>
      <c r="M16" s="1">
        <v>45163</v>
      </c>
      <c r="N16" t="s">
        <v>54</v>
      </c>
      <c r="O16" t="s">
        <v>119</v>
      </c>
      <c r="P16" t="s">
        <v>110</v>
      </c>
      <c r="Q16" t="s">
        <v>120</v>
      </c>
      <c r="R16">
        <v>1390.81</v>
      </c>
      <c r="S16">
        <v>1874.61</v>
      </c>
      <c r="T16">
        <v>262</v>
      </c>
      <c r="U16">
        <v>16205.02</v>
      </c>
      <c r="V16">
        <v>3275.11</v>
      </c>
      <c r="W16">
        <v>12929.91</v>
      </c>
      <c r="X16">
        <v>1328.26</v>
      </c>
      <c r="Y16" t="s">
        <v>37</v>
      </c>
      <c r="Z16">
        <v>1874.61</v>
      </c>
      <c r="AA16">
        <v>483.79999999999995</v>
      </c>
    </row>
    <row r="17" spans="1:27" x14ac:dyDescent="0.3">
      <c r="A17" t="s">
        <v>121</v>
      </c>
      <c r="B17" s="1">
        <v>45056</v>
      </c>
      <c r="C17" t="s">
        <v>70</v>
      </c>
      <c r="D17" t="s">
        <v>122</v>
      </c>
      <c r="E17">
        <v>3</v>
      </c>
      <c r="F17" t="s">
        <v>51</v>
      </c>
      <c r="G17">
        <v>6</v>
      </c>
      <c r="H17" t="s">
        <v>72</v>
      </c>
      <c r="I17" t="s">
        <v>30</v>
      </c>
      <c r="J17">
        <v>56</v>
      </c>
      <c r="K17" t="s">
        <v>73</v>
      </c>
      <c r="L17" t="s">
        <v>32</v>
      </c>
      <c r="M17" s="1">
        <v>45619</v>
      </c>
      <c r="N17" t="s">
        <v>54</v>
      </c>
      <c r="O17" t="s">
        <v>123</v>
      </c>
      <c r="P17" t="s">
        <v>68</v>
      </c>
      <c r="Q17" t="s">
        <v>46</v>
      </c>
      <c r="R17">
        <v>1480.33</v>
      </c>
      <c r="S17">
        <v>1709.3</v>
      </c>
      <c r="T17">
        <v>229</v>
      </c>
      <c r="U17">
        <v>16674.849999999999</v>
      </c>
      <c r="V17">
        <v>571.14</v>
      </c>
      <c r="W17">
        <v>16103.71</v>
      </c>
      <c r="X17">
        <v>4520.46</v>
      </c>
      <c r="Y17" t="s">
        <v>83</v>
      </c>
      <c r="Z17">
        <v>5127.8999999999996</v>
      </c>
      <c r="AA17">
        <v>686.91000000000008</v>
      </c>
    </row>
    <row r="18" spans="1:27" x14ac:dyDescent="0.3">
      <c r="A18" t="s">
        <v>124</v>
      </c>
      <c r="B18" s="1">
        <v>45147</v>
      </c>
      <c r="C18" t="s">
        <v>49</v>
      </c>
      <c r="D18" t="s">
        <v>125</v>
      </c>
      <c r="E18">
        <v>6</v>
      </c>
      <c r="F18" t="s">
        <v>51</v>
      </c>
      <c r="G18">
        <v>2</v>
      </c>
      <c r="H18" t="s">
        <v>52</v>
      </c>
      <c r="I18" t="s">
        <v>30</v>
      </c>
      <c r="J18">
        <v>24</v>
      </c>
      <c r="K18" t="s">
        <v>53</v>
      </c>
      <c r="L18" t="s">
        <v>43</v>
      </c>
      <c r="M18" s="1">
        <v>45721</v>
      </c>
      <c r="N18" t="s">
        <v>54</v>
      </c>
      <c r="O18" t="s">
        <v>126</v>
      </c>
      <c r="P18" t="s">
        <v>68</v>
      </c>
      <c r="Q18" t="s">
        <v>120</v>
      </c>
      <c r="R18">
        <v>4301.32</v>
      </c>
      <c r="S18">
        <v>6870.07</v>
      </c>
      <c r="T18">
        <v>243</v>
      </c>
      <c r="U18">
        <v>1419.43</v>
      </c>
      <c r="V18">
        <v>79.099999999999994</v>
      </c>
      <c r="W18">
        <v>1340.33</v>
      </c>
      <c r="X18">
        <v>3667.3</v>
      </c>
      <c r="Y18" t="s">
        <v>47</v>
      </c>
      <c r="Z18">
        <v>41220.42</v>
      </c>
      <c r="AA18">
        <v>15412.5</v>
      </c>
    </row>
    <row r="19" spans="1:27" x14ac:dyDescent="0.3">
      <c r="A19" t="s">
        <v>127</v>
      </c>
      <c r="B19" s="1">
        <v>45024</v>
      </c>
      <c r="C19" t="s">
        <v>128</v>
      </c>
      <c r="D19" t="s">
        <v>129</v>
      </c>
      <c r="E19">
        <v>4</v>
      </c>
      <c r="F19" t="s">
        <v>90</v>
      </c>
      <c r="G19">
        <v>23</v>
      </c>
      <c r="H19" t="s">
        <v>130</v>
      </c>
      <c r="I19" t="s">
        <v>30</v>
      </c>
      <c r="J19">
        <v>36</v>
      </c>
      <c r="K19" t="s">
        <v>65</v>
      </c>
      <c r="L19" t="s">
        <v>81</v>
      </c>
      <c r="M19" s="1">
        <v>44599</v>
      </c>
      <c r="N19" t="s">
        <v>54</v>
      </c>
      <c r="O19" t="s">
        <v>131</v>
      </c>
      <c r="P19" t="s">
        <v>68</v>
      </c>
      <c r="Q19" t="s">
        <v>111</v>
      </c>
      <c r="R19">
        <v>4948.75</v>
      </c>
      <c r="S19">
        <v>6628.41</v>
      </c>
      <c r="T19">
        <v>268</v>
      </c>
      <c r="U19">
        <v>19085.47</v>
      </c>
      <c r="V19">
        <v>3730.95</v>
      </c>
      <c r="W19">
        <v>15354.52</v>
      </c>
      <c r="X19">
        <v>760.74</v>
      </c>
      <c r="Y19" t="s">
        <v>56</v>
      </c>
      <c r="Z19">
        <v>26513.64</v>
      </c>
      <c r="AA19">
        <v>6718.6399999999994</v>
      </c>
    </row>
    <row r="20" spans="1:27" x14ac:dyDescent="0.3">
      <c r="A20" t="s">
        <v>132</v>
      </c>
      <c r="B20" s="1">
        <v>45259</v>
      </c>
      <c r="C20" t="s">
        <v>133</v>
      </c>
      <c r="D20" t="s">
        <v>134</v>
      </c>
      <c r="E20">
        <v>1</v>
      </c>
      <c r="F20" t="s">
        <v>51</v>
      </c>
      <c r="G20">
        <v>20</v>
      </c>
      <c r="H20" t="s">
        <v>135</v>
      </c>
      <c r="I20" t="s">
        <v>30</v>
      </c>
      <c r="J20">
        <v>50</v>
      </c>
      <c r="K20" t="s">
        <v>42</v>
      </c>
      <c r="L20" t="s">
        <v>43</v>
      </c>
      <c r="M20" s="1">
        <v>44967</v>
      </c>
      <c r="N20" t="s">
        <v>33</v>
      </c>
      <c r="O20" t="s">
        <v>136</v>
      </c>
      <c r="P20" t="s">
        <v>68</v>
      </c>
      <c r="Q20" t="s">
        <v>46</v>
      </c>
      <c r="R20">
        <v>3023.88</v>
      </c>
      <c r="S20">
        <v>3903.42</v>
      </c>
      <c r="T20">
        <v>217</v>
      </c>
      <c r="U20">
        <v>1568.29</v>
      </c>
      <c r="V20">
        <v>187.57</v>
      </c>
      <c r="W20">
        <v>1380.72</v>
      </c>
      <c r="X20">
        <v>4961.91</v>
      </c>
      <c r="Y20" t="s">
        <v>83</v>
      </c>
      <c r="Z20">
        <v>3903.42</v>
      </c>
      <c r="AA20">
        <v>879.54</v>
      </c>
    </row>
    <row r="21" spans="1:27" x14ac:dyDescent="0.3">
      <c r="A21" t="s">
        <v>137</v>
      </c>
      <c r="B21" s="1">
        <v>44931</v>
      </c>
      <c r="C21" t="s">
        <v>138</v>
      </c>
      <c r="D21" t="s">
        <v>134</v>
      </c>
      <c r="E21">
        <v>3</v>
      </c>
      <c r="F21" t="s">
        <v>78</v>
      </c>
      <c r="G21">
        <v>15</v>
      </c>
      <c r="H21" t="s">
        <v>139</v>
      </c>
      <c r="I21" t="s">
        <v>80</v>
      </c>
      <c r="J21">
        <v>25</v>
      </c>
      <c r="K21" t="s">
        <v>53</v>
      </c>
      <c r="L21" t="s">
        <v>81</v>
      </c>
      <c r="M21" s="1">
        <v>44756</v>
      </c>
      <c r="N21" t="s">
        <v>54</v>
      </c>
      <c r="O21" t="s">
        <v>136</v>
      </c>
      <c r="P21" t="s">
        <v>68</v>
      </c>
      <c r="Q21" t="s">
        <v>46</v>
      </c>
      <c r="R21">
        <v>3023.88</v>
      </c>
      <c r="S21">
        <v>3903.42</v>
      </c>
      <c r="T21">
        <v>217</v>
      </c>
      <c r="U21">
        <v>11760.28</v>
      </c>
      <c r="V21">
        <v>230.3</v>
      </c>
      <c r="W21">
        <v>11529.98</v>
      </c>
      <c r="X21">
        <v>421.84</v>
      </c>
      <c r="Y21" t="s">
        <v>47</v>
      </c>
      <c r="Z21">
        <v>11710.26</v>
      </c>
      <c r="AA21">
        <v>2638.62</v>
      </c>
    </row>
    <row r="22" spans="1:27" x14ac:dyDescent="0.3">
      <c r="A22" t="s">
        <v>140</v>
      </c>
      <c r="B22" s="1">
        <v>44966</v>
      </c>
      <c r="C22" t="s">
        <v>141</v>
      </c>
      <c r="D22" t="s">
        <v>142</v>
      </c>
      <c r="E22">
        <v>6</v>
      </c>
      <c r="F22" t="s">
        <v>51</v>
      </c>
      <c r="G22">
        <v>14</v>
      </c>
      <c r="H22" t="s">
        <v>143</v>
      </c>
      <c r="I22" t="s">
        <v>80</v>
      </c>
      <c r="J22">
        <v>41</v>
      </c>
      <c r="K22" t="s">
        <v>73</v>
      </c>
      <c r="L22" t="s">
        <v>81</v>
      </c>
      <c r="M22" s="1">
        <v>44899</v>
      </c>
      <c r="N22" t="s">
        <v>54</v>
      </c>
      <c r="O22" t="s">
        <v>144</v>
      </c>
      <c r="P22" t="s">
        <v>68</v>
      </c>
      <c r="Q22" t="s">
        <v>46</v>
      </c>
      <c r="R22">
        <v>236.18</v>
      </c>
      <c r="S22">
        <v>290.54000000000002</v>
      </c>
      <c r="T22">
        <v>127</v>
      </c>
      <c r="U22">
        <v>17350.29</v>
      </c>
      <c r="V22">
        <v>1343.19</v>
      </c>
      <c r="W22">
        <v>16007.1</v>
      </c>
      <c r="X22">
        <v>2549.77</v>
      </c>
      <c r="Y22" t="s">
        <v>47</v>
      </c>
      <c r="Z22">
        <v>1743.2400000000002</v>
      </c>
      <c r="AA22">
        <v>326.16000000000008</v>
      </c>
    </row>
    <row r="23" spans="1:27" x14ac:dyDescent="0.3">
      <c r="A23" t="s">
        <v>145</v>
      </c>
      <c r="B23" s="1">
        <v>45249</v>
      </c>
      <c r="C23" t="s">
        <v>133</v>
      </c>
      <c r="D23" t="s">
        <v>146</v>
      </c>
      <c r="E23">
        <v>1</v>
      </c>
      <c r="F23" t="s">
        <v>90</v>
      </c>
      <c r="G23">
        <v>12</v>
      </c>
      <c r="H23" t="s">
        <v>135</v>
      </c>
      <c r="I23" t="s">
        <v>30</v>
      </c>
      <c r="J23">
        <v>50</v>
      </c>
      <c r="K23" t="s">
        <v>42</v>
      </c>
      <c r="L23" t="s">
        <v>43</v>
      </c>
      <c r="M23" s="1">
        <v>44967</v>
      </c>
      <c r="N23" t="s">
        <v>33</v>
      </c>
      <c r="O23" t="s">
        <v>147</v>
      </c>
      <c r="P23" t="s">
        <v>94</v>
      </c>
      <c r="Q23" t="s">
        <v>111</v>
      </c>
      <c r="R23">
        <v>662.05</v>
      </c>
      <c r="S23">
        <v>1019.21</v>
      </c>
      <c r="T23">
        <v>49</v>
      </c>
      <c r="U23">
        <v>10487.63</v>
      </c>
      <c r="V23">
        <v>1931.37</v>
      </c>
      <c r="W23">
        <v>8556.26</v>
      </c>
      <c r="X23">
        <v>973.68</v>
      </c>
      <c r="Y23" t="s">
        <v>37</v>
      </c>
      <c r="Z23">
        <v>1019.21</v>
      </c>
      <c r="AA23">
        <v>357.16000000000008</v>
      </c>
    </row>
    <row r="24" spans="1:27" x14ac:dyDescent="0.3">
      <c r="A24" t="s">
        <v>148</v>
      </c>
      <c r="B24" s="1">
        <v>45226</v>
      </c>
      <c r="C24" t="s">
        <v>149</v>
      </c>
      <c r="D24" t="s">
        <v>146</v>
      </c>
      <c r="E24">
        <v>1</v>
      </c>
      <c r="F24" t="s">
        <v>28</v>
      </c>
      <c r="G24">
        <v>22</v>
      </c>
      <c r="H24" t="s">
        <v>150</v>
      </c>
      <c r="I24" t="s">
        <v>30</v>
      </c>
      <c r="J24">
        <v>44</v>
      </c>
      <c r="K24" t="s">
        <v>73</v>
      </c>
      <c r="L24" t="s">
        <v>81</v>
      </c>
      <c r="M24" s="1">
        <v>44918</v>
      </c>
      <c r="N24" t="s">
        <v>33</v>
      </c>
      <c r="O24" t="s">
        <v>147</v>
      </c>
      <c r="P24" t="s">
        <v>94</v>
      </c>
      <c r="Q24" t="s">
        <v>111</v>
      </c>
      <c r="R24">
        <v>662.05</v>
      </c>
      <c r="S24">
        <v>1019.21</v>
      </c>
      <c r="T24">
        <v>49</v>
      </c>
      <c r="U24">
        <v>2119.8200000000002</v>
      </c>
      <c r="V24">
        <v>516.88</v>
      </c>
      <c r="W24">
        <v>1602.94</v>
      </c>
      <c r="X24">
        <v>4005.06</v>
      </c>
      <c r="Y24" t="s">
        <v>37</v>
      </c>
      <c r="Z24">
        <v>1019.21</v>
      </c>
      <c r="AA24">
        <v>357.16000000000008</v>
      </c>
    </row>
    <row r="25" spans="1:27" x14ac:dyDescent="0.3">
      <c r="A25" t="s">
        <v>151</v>
      </c>
      <c r="B25" s="1">
        <v>44950</v>
      </c>
      <c r="C25" t="s">
        <v>152</v>
      </c>
      <c r="D25" t="s">
        <v>153</v>
      </c>
      <c r="E25">
        <v>6</v>
      </c>
      <c r="F25" t="s">
        <v>90</v>
      </c>
      <c r="G25">
        <v>2</v>
      </c>
      <c r="H25" t="s">
        <v>154</v>
      </c>
      <c r="I25" t="s">
        <v>80</v>
      </c>
      <c r="J25">
        <v>36</v>
      </c>
      <c r="K25" t="s">
        <v>155</v>
      </c>
      <c r="L25" t="s">
        <v>81</v>
      </c>
      <c r="M25" s="1">
        <v>45103</v>
      </c>
      <c r="N25" t="s">
        <v>33</v>
      </c>
      <c r="O25" t="s">
        <v>156</v>
      </c>
      <c r="P25" t="s">
        <v>35</v>
      </c>
      <c r="Q25" t="s">
        <v>36</v>
      </c>
      <c r="R25">
        <v>2340.46</v>
      </c>
      <c r="S25">
        <v>2600.46</v>
      </c>
      <c r="T25">
        <v>245</v>
      </c>
      <c r="U25">
        <v>603.61</v>
      </c>
      <c r="V25">
        <v>42.57</v>
      </c>
      <c r="W25">
        <v>561.04</v>
      </c>
      <c r="X25">
        <v>3351.55</v>
      </c>
      <c r="Y25" t="s">
        <v>37</v>
      </c>
      <c r="Z25">
        <v>15602.76</v>
      </c>
      <c r="AA25">
        <v>1560</v>
      </c>
    </row>
    <row r="26" spans="1:27" x14ac:dyDescent="0.3">
      <c r="A26" t="s">
        <v>157</v>
      </c>
      <c r="B26" s="1">
        <v>45107</v>
      </c>
      <c r="C26" t="s">
        <v>58</v>
      </c>
      <c r="D26" t="s">
        <v>146</v>
      </c>
      <c r="E26">
        <v>4</v>
      </c>
      <c r="F26" t="s">
        <v>90</v>
      </c>
      <c r="G26">
        <v>7</v>
      </c>
      <c r="H26" t="s">
        <v>59</v>
      </c>
      <c r="I26" t="s">
        <v>30</v>
      </c>
      <c r="J26">
        <v>25</v>
      </c>
      <c r="K26" t="s">
        <v>60</v>
      </c>
      <c r="L26" t="s">
        <v>53</v>
      </c>
      <c r="M26" s="1">
        <v>44898</v>
      </c>
      <c r="N26" t="s">
        <v>44</v>
      </c>
      <c r="O26" t="s">
        <v>147</v>
      </c>
      <c r="P26" t="s">
        <v>94</v>
      </c>
      <c r="Q26" t="s">
        <v>111</v>
      </c>
      <c r="R26">
        <v>662.05</v>
      </c>
      <c r="S26">
        <v>1019.21</v>
      </c>
      <c r="T26">
        <v>49</v>
      </c>
      <c r="U26">
        <v>11512.44</v>
      </c>
      <c r="V26">
        <v>2130.63</v>
      </c>
      <c r="W26">
        <v>9381.81</v>
      </c>
      <c r="X26">
        <v>1241.27</v>
      </c>
      <c r="Y26" t="s">
        <v>83</v>
      </c>
      <c r="Z26">
        <v>4076.84</v>
      </c>
      <c r="AA26">
        <v>1428.6400000000003</v>
      </c>
    </row>
    <row r="27" spans="1:27" x14ac:dyDescent="0.3">
      <c r="A27" t="s">
        <v>158</v>
      </c>
      <c r="B27" s="1">
        <v>45018</v>
      </c>
      <c r="C27" t="s">
        <v>159</v>
      </c>
      <c r="D27" t="s">
        <v>146</v>
      </c>
      <c r="E27">
        <v>1</v>
      </c>
      <c r="F27" t="s">
        <v>78</v>
      </c>
      <c r="G27">
        <v>23</v>
      </c>
      <c r="H27" t="s">
        <v>160</v>
      </c>
      <c r="I27" t="s">
        <v>80</v>
      </c>
      <c r="J27">
        <v>55</v>
      </c>
      <c r="K27" t="s">
        <v>155</v>
      </c>
      <c r="L27" t="s">
        <v>108</v>
      </c>
      <c r="M27" s="1">
        <v>45619</v>
      </c>
      <c r="N27" t="s">
        <v>44</v>
      </c>
      <c r="O27" t="s">
        <v>147</v>
      </c>
      <c r="P27" t="s">
        <v>94</v>
      </c>
      <c r="Q27" t="s">
        <v>111</v>
      </c>
      <c r="R27">
        <v>662.05</v>
      </c>
      <c r="S27">
        <v>1019.21</v>
      </c>
      <c r="T27">
        <v>49</v>
      </c>
      <c r="U27">
        <v>3848.11</v>
      </c>
      <c r="V27">
        <v>869.66</v>
      </c>
      <c r="W27">
        <v>2978.45</v>
      </c>
      <c r="X27">
        <v>3031.95</v>
      </c>
      <c r="Y27" t="s">
        <v>37</v>
      </c>
      <c r="Z27">
        <v>1019.21</v>
      </c>
      <c r="AA27">
        <v>357.16000000000008</v>
      </c>
    </row>
    <row r="28" spans="1:27" x14ac:dyDescent="0.3">
      <c r="A28" t="s">
        <v>161</v>
      </c>
      <c r="B28" s="1">
        <v>45051</v>
      </c>
      <c r="C28" t="s">
        <v>162</v>
      </c>
      <c r="D28" t="s">
        <v>163</v>
      </c>
      <c r="E28">
        <v>6</v>
      </c>
      <c r="F28" t="s">
        <v>78</v>
      </c>
      <c r="G28">
        <v>24</v>
      </c>
      <c r="H28" t="s">
        <v>164</v>
      </c>
      <c r="I28" t="s">
        <v>30</v>
      </c>
      <c r="J28">
        <v>58</v>
      </c>
      <c r="K28" t="s">
        <v>31</v>
      </c>
      <c r="L28" t="s">
        <v>32</v>
      </c>
      <c r="M28" s="1">
        <v>44739</v>
      </c>
      <c r="N28" t="s">
        <v>33</v>
      </c>
      <c r="O28" t="s">
        <v>165</v>
      </c>
      <c r="P28" t="s">
        <v>94</v>
      </c>
      <c r="Q28" t="s">
        <v>120</v>
      </c>
      <c r="R28">
        <v>1733.92</v>
      </c>
      <c r="S28">
        <v>2099.92</v>
      </c>
      <c r="T28">
        <v>175</v>
      </c>
      <c r="U28">
        <v>10611.74</v>
      </c>
      <c r="V28">
        <v>137.28</v>
      </c>
      <c r="W28">
        <v>10474.459999999999</v>
      </c>
      <c r="X28">
        <v>2331.36</v>
      </c>
      <c r="Y28" t="s">
        <v>47</v>
      </c>
      <c r="Z28">
        <v>12599.52</v>
      </c>
      <c r="AA28">
        <v>2196</v>
      </c>
    </row>
    <row r="29" spans="1:27" x14ac:dyDescent="0.3">
      <c r="A29" t="s">
        <v>166</v>
      </c>
      <c r="B29" s="1">
        <v>45067</v>
      </c>
      <c r="C29" t="s">
        <v>167</v>
      </c>
      <c r="D29" t="s">
        <v>63</v>
      </c>
      <c r="E29">
        <v>3</v>
      </c>
      <c r="F29" t="s">
        <v>51</v>
      </c>
      <c r="G29">
        <v>20</v>
      </c>
      <c r="H29" t="s">
        <v>168</v>
      </c>
      <c r="I29" t="s">
        <v>30</v>
      </c>
      <c r="J29">
        <v>55</v>
      </c>
      <c r="K29" t="s">
        <v>73</v>
      </c>
      <c r="L29" t="s">
        <v>32</v>
      </c>
      <c r="M29" s="1">
        <v>44843</v>
      </c>
      <c r="N29" t="s">
        <v>44</v>
      </c>
      <c r="O29" t="s">
        <v>67</v>
      </c>
      <c r="P29" t="s">
        <v>68</v>
      </c>
      <c r="Q29" t="s">
        <v>46</v>
      </c>
      <c r="R29">
        <v>2961.83</v>
      </c>
      <c r="S29">
        <v>4189.8100000000004</v>
      </c>
      <c r="T29">
        <v>165</v>
      </c>
      <c r="U29">
        <v>1079.08</v>
      </c>
      <c r="V29">
        <v>32.94</v>
      </c>
      <c r="W29">
        <v>1046.1400000000001</v>
      </c>
      <c r="X29">
        <v>1989.53</v>
      </c>
      <c r="Y29" t="s">
        <v>83</v>
      </c>
      <c r="Z29">
        <v>12569.43</v>
      </c>
      <c r="AA29">
        <v>3683.9400000000014</v>
      </c>
    </row>
    <row r="30" spans="1:27" x14ac:dyDescent="0.3">
      <c r="A30" t="s">
        <v>169</v>
      </c>
      <c r="B30" s="1">
        <v>45115</v>
      </c>
      <c r="C30" t="s">
        <v>116</v>
      </c>
      <c r="D30" t="s">
        <v>63</v>
      </c>
      <c r="E30">
        <v>3</v>
      </c>
      <c r="F30" t="s">
        <v>28</v>
      </c>
      <c r="G30">
        <v>15</v>
      </c>
      <c r="H30" t="s">
        <v>118</v>
      </c>
      <c r="I30" t="s">
        <v>80</v>
      </c>
      <c r="J30">
        <v>52</v>
      </c>
      <c r="K30" t="s">
        <v>31</v>
      </c>
      <c r="L30" t="s">
        <v>43</v>
      </c>
      <c r="M30" s="1">
        <v>45163</v>
      </c>
      <c r="N30" t="s">
        <v>54</v>
      </c>
      <c r="O30" t="s">
        <v>67</v>
      </c>
      <c r="P30" t="s">
        <v>68</v>
      </c>
      <c r="Q30" t="s">
        <v>46</v>
      </c>
      <c r="R30">
        <v>2961.83</v>
      </c>
      <c r="S30">
        <v>4189.8100000000004</v>
      </c>
      <c r="T30">
        <v>165</v>
      </c>
      <c r="U30">
        <v>11041.68</v>
      </c>
      <c r="V30">
        <v>1479.68</v>
      </c>
      <c r="W30">
        <v>9562</v>
      </c>
      <c r="X30">
        <v>3378.64</v>
      </c>
      <c r="Y30" t="s">
        <v>47</v>
      </c>
      <c r="Z30">
        <v>12569.43</v>
      </c>
      <c r="AA30">
        <v>3683.9400000000014</v>
      </c>
    </row>
    <row r="31" spans="1:27" x14ac:dyDescent="0.3">
      <c r="A31" t="s">
        <v>170</v>
      </c>
      <c r="B31" s="1">
        <v>45154</v>
      </c>
      <c r="C31" t="s">
        <v>171</v>
      </c>
      <c r="D31" t="s">
        <v>172</v>
      </c>
      <c r="E31">
        <v>4</v>
      </c>
      <c r="F31" t="s">
        <v>78</v>
      </c>
      <c r="G31">
        <v>24</v>
      </c>
      <c r="H31" t="s">
        <v>173</v>
      </c>
      <c r="I31" t="s">
        <v>30</v>
      </c>
      <c r="J31">
        <v>22</v>
      </c>
      <c r="K31" t="s">
        <v>155</v>
      </c>
      <c r="L31" t="s">
        <v>32</v>
      </c>
      <c r="M31" s="1">
        <v>45701</v>
      </c>
      <c r="N31" t="s">
        <v>44</v>
      </c>
      <c r="O31" t="s">
        <v>174</v>
      </c>
      <c r="P31" t="s">
        <v>94</v>
      </c>
      <c r="Q31" t="s">
        <v>120</v>
      </c>
      <c r="R31">
        <v>2787.43</v>
      </c>
      <c r="S31">
        <v>4097.28</v>
      </c>
      <c r="T31">
        <v>278</v>
      </c>
      <c r="U31">
        <v>11340.48</v>
      </c>
      <c r="V31">
        <v>529.47</v>
      </c>
      <c r="W31">
        <v>10811.01</v>
      </c>
      <c r="X31">
        <v>654.14</v>
      </c>
      <c r="Y31" t="s">
        <v>56</v>
      </c>
      <c r="Z31">
        <v>16389.12</v>
      </c>
      <c r="AA31">
        <v>5239.3999999999996</v>
      </c>
    </row>
    <row r="32" spans="1:27" x14ac:dyDescent="0.3">
      <c r="A32" t="s">
        <v>175</v>
      </c>
      <c r="B32" s="1">
        <v>45107</v>
      </c>
      <c r="C32" t="s">
        <v>176</v>
      </c>
      <c r="D32" t="s">
        <v>177</v>
      </c>
      <c r="E32">
        <v>2</v>
      </c>
      <c r="F32" t="s">
        <v>78</v>
      </c>
      <c r="G32">
        <v>14</v>
      </c>
      <c r="H32" t="s">
        <v>178</v>
      </c>
      <c r="I32" t="s">
        <v>80</v>
      </c>
      <c r="J32">
        <v>27</v>
      </c>
      <c r="K32" t="s">
        <v>53</v>
      </c>
      <c r="L32" t="s">
        <v>43</v>
      </c>
      <c r="M32" s="1">
        <v>45372</v>
      </c>
      <c r="N32" t="s">
        <v>54</v>
      </c>
      <c r="O32" t="s">
        <v>179</v>
      </c>
      <c r="P32" t="s">
        <v>35</v>
      </c>
      <c r="Q32" t="s">
        <v>46</v>
      </c>
      <c r="R32">
        <v>926.86</v>
      </c>
      <c r="S32">
        <v>1109.73</v>
      </c>
      <c r="T32">
        <v>287</v>
      </c>
      <c r="U32">
        <v>19354.599999999999</v>
      </c>
      <c r="V32">
        <v>398.87</v>
      </c>
      <c r="W32">
        <v>18955.73</v>
      </c>
      <c r="X32">
        <v>1008.92</v>
      </c>
      <c r="Y32" t="s">
        <v>37</v>
      </c>
      <c r="Z32">
        <v>2219.46</v>
      </c>
      <c r="AA32">
        <v>365.74</v>
      </c>
    </row>
    <row r="33" spans="1:27" x14ac:dyDescent="0.3">
      <c r="A33" t="s">
        <v>180</v>
      </c>
      <c r="B33" s="1">
        <v>45224</v>
      </c>
      <c r="C33" t="s">
        <v>62</v>
      </c>
      <c r="D33" t="s">
        <v>129</v>
      </c>
      <c r="E33">
        <v>5</v>
      </c>
      <c r="F33" t="s">
        <v>28</v>
      </c>
      <c r="G33">
        <v>25</v>
      </c>
      <c r="H33" t="s">
        <v>64</v>
      </c>
      <c r="I33" t="s">
        <v>30</v>
      </c>
      <c r="J33">
        <v>25</v>
      </c>
      <c r="K33" t="s">
        <v>65</v>
      </c>
      <c r="L33" t="s">
        <v>66</v>
      </c>
      <c r="M33" s="1">
        <v>44951</v>
      </c>
      <c r="N33" t="s">
        <v>54</v>
      </c>
      <c r="O33" t="s">
        <v>131</v>
      </c>
      <c r="P33" t="s">
        <v>68</v>
      </c>
      <c r="Q33" t="s">
        <v>111</v>
      </c>
      <c r="R33">
        <v>4948.75</v>
      </c>
      <c r="S33">
        <v>6628.41</v>
      </c>
      <c r="T33">
        <v>268</v>
      </c>
      <c r="U33">
        <v>7793.22</v>
      </c>
      <c r="V33">
        <v>650.62</v>
      </c>
      <c r="W33">
        <v>7142.6</v>
      </c>
      <c r="X33">
        <v>1564.64</v>
      </c>
      <c r="Y33" t="s">
        <v>56</v>
      </c>
      <c r="Z33">
        <v>33142.050000000003</v>
      </c>
      <c r="AA33">
        <v>8398.2999999999993</v>
      </c>
    </row>
    <row r="34" spans="1:27" x14ac:dyDescent="0.3">
      <c r="A34" t="s">
        <v>181</v>
      </c>
      <c r="B34" s="1">
        <v>44961</v>
      </c>
      <c r="C34" t="s">
        <v>182</v>
      </c>
      <c r="D34" t="s">
        <v>183</v>
      </c>
      <c r="E34">
        <v>2</v>
      </c>
      <c r="F34" t="s">
        <v>90</v>
      </c>
      <c r="G34">
        <v>2</v>
      </c>
      <c r="H34" t="s">
        <v>184</v>
      </c>
      <c r="I34" t="s">
        <v>80</v>
      </c>
      <c r="J34">
        <v>40</v>
      </c>
      <c r="K34" t="s">
        <v>65</v>
      </c>
      <c r="L34" t="s">
        <v>43</v>
      </c>
      <c r="M34" s="1">
        <v>44995</v>
      </c>
      <c r="N34" t="s">
        <v>33</v>
      </c>
      <c r="O34" t="s">
        <v>185</v>
      </c>
      <c r="P34" t="s">
        <v>110</v>
      </c>
      <c r="Q34" t="s">
        <v>36</v>
      </c>
      <c r="R34">
        <v>1358.27</v>
      </c>
      <c r="S34">
        <v>1886.86</v>
      </c>
      <c r="T34">
        <v>153</v>
      </c>
      <c r="U34">
        <v>11700.36</v>
      </c>
      <c r="V34">
        <v>236.02</v>
      </c>
      <c r="W34">
        <v>11464.34</v>
      </c>
      <c r="X34">
        <v>3693.33</v>
      </c>
      <c r="Y34" t="s">
        <v>47</v>
      </c>
      <c r="Z34">
        <v>3773.72</v>
      </c>
      <c r="AA34">
        <v>1057.1799999999998</v>
      </c>
    </row>
    <row r="35" spans="1:27" x14ac:dyDescent="0.3">
      <c r="A35" t="s">
        <v>186</v>
      </c>
      <c r="B35" s="1">
        <v>45141</v>
      </c>
      <c r="C35" t="s">
        <v>187</v>
      </c>
      <c r="D35" t="s">
        <v>129</v>
      </c>
      <c r="E35">
        <v>2</v>
      </c>
      <c r="F35" t="s">
        <v>28</v>
      </c>
      <c r="G35">
        <v>17</v>
      </c>
      <c r="H35" t="s">
        <v>188</v>
      </c>
      <c r="I35" t="s">
        <v>80</v>
      </c>
      <c r="J35">
        <v>35</v>
      </c>
      <c r="K35" t="s">
        <v>60</v>
      </c>
      <c r="L35" t="s">
        <v>53</v>
      </c>
      <c r="M35" s="1">
        <v>45052</v>
      </c>
      <c r="N35" t="s">
        <v>44</v>
      </c>
      <c r="O35" t="s">
        <v>131</v>
      </c>
      <c r="P35" t="s">
        <v>68</v>
      </c>
      <c r="Q35" t="s">
        <v>111</v>
      </c>
      <c r="R35">
        <v>4948.75</v>
      </c>
      <c r="S35">
        <v>6628.41</v>
      </c>
      <c r="T35">
        <v>268</v>
      </c>
      <c r="U35">
        <v>3817.6</v>
      </c>
      <c r="V35">
        <v>274.8</v>
      </c>
      <c r="W35">
        <v>3542.8</v>
      </c>
      <c r="X35">
        <v>2640.05</v>
      </c>
      <c r="Y35" t="s">
        <v>37</v>
      </c>
      <c r="Z35">
        <v>13256.82</v>
      </c>
      <c r="AA35">
        <v>3359.3199999999997</v>
      </c>
    </row>
    <row r="36" spans="1:27" x14ac:dyDescent="0.3">
      <c r="A36" t="s">
        <v>189</v>
      </c>
      <c r="B36" s="1">
        <v>44937</v>
      </c>
      <c r="C36" t="s">
        <v>159</v>
      </c>
      <c r="D36" t="s">
        <v>190</v>
      </c>
      <c r="E36">
        <v>1</v>
      </c>
      <c r="F36" t="s">
        <v>90</v>
      </c>
      <c r="G36">
        <v>0</v>
      </c>
      <c r="H36" t="s">
        <v>160</v>
      </c>
      <c r="I36" t="s">
        <v>80</v>
      </c>
      <c r="J36">
        <v>55</v>
      </c>
      <c r="K36" t="s">
        <v>155</v>
      </c>
      <c r="L36" t="s">
        <v>108</v>
      </c>
      <c r="M36" s="1">
        <v>45619</v>
      </c>
      <c r="N36" t="s">
        <v>44</v>
      </c>
      <c r="O36" t="s">
        <v>191</v>
      </c>
      <c r="P36" t="s">
        <v>68</v>
      </c>
      <c r="Q36" t="s">
        <v>120</v>
      </c>
      <c r="R36">
        <v>2412.25</v>
      </c>
      <c r="S36">
        <v>3672.51</v>
      </c>
      <c r="T36">
        <v>100</v>
      </c>
      <c r="U36">
        <v>4088.54</v>
      </c>
      <c r="V36">
        <v>542.76</v>
      </c>
      <c r="W36">
        <v>3545.78</v>
      </c>
      <c r="X36">
        <v>3201.73</v>
      </c>
      <c r="Y36" t="s">
        <v>47</v>
      </c>
      <c r="Z36">
        <v>3672.51</v>
      </c>
      <c r="AA36">
        <v>1260.2600000000002</v>
      </c>
    </row>
    <row r="37" spans="1:27" x14ac:dyDescent="0.3">
      <c r="A37" t="s">
        <v>192</v>
      </c>
      <c r="B37" s="1">
        <v>45227</v>
      </c>
      <c r="C37" t="s">
        <v>97</v>
      </c>
      <c r="D37" t="s">
        <v>193</v>
      </c>
      <c r="E37">
        <v>4</v>
      </c>
      <c r="F37" t="s">
        <v>90</v>
      </c>
      <c r="G37">
        <v>25</v>
      </c>
      <c r="H37" t="s">
        <v>99</v>
      </c>
      <c r="I37" t="s">
        <v>80</v>
      </c>
      <c r="J37">
        <v>27</v>
      </c>
      <c r="K37" t="s">
        <v>31</v>
      </c>
      <c r="L37" t="s">
        <v>32</v>
      </c>
      <c r="M37" s="1">
        <v>44637</v>
      </c>
      <c r="N37" t="s">
        <v>33</v>
      </c>
      <c r="O37" t="s">
        <v>194</v>
      </c>
      <c r="P37" t="s">
        <v>94</v>
      </c>
      <c r="Q37" t="s">
        <v>120</v>
      </c>
      <c r="R37">
        <v>1267.6600000000001</v>
      </c>
      <c r="S37">
        <v>1481.07</v>
      </c>
      <c r="T37">
        <v>99</v>
      </c>
      <c r="U37">
        <v>13019.69</v>
      </c>
      <c r="V37">
        <v>1496.85</v>
      </c>
      <c r="W37">
        <v>11522.84</v>
      </c>
      <c r="X37">
        <v>441.71</v>
      </c>
      <c r="Y37" t="s">
        <v>37</v>
      </c>
      <c r="Z37">
        <v>5924.28</v>
      </c>
      <c r="AA37">
        <v>853.63999999999942</v>
      </c>
    </row>
    <row r="38" spans="1:27" x14ac:dyDescent="0.3">
      <c r="A38" t="s">
        <v>195</v>
      </c>
      <c r="B38" s="1">
        <v>45277</v>
      </c>
      <c r="C38" t="s">
        <v>196</v>
      </c>
      <c r="D38" t="s">
        <v>197</v>
      </c>
      <c r="E38">
        <v>4</v>
      </c>
      <c r="F38" t="s">
        <v>28</v>
      </c>
      <c r="G38">
        <v>8</v>
      </c>
      <c r="H38" t="s">
        <v>198</v>
      </c>
      <c r="I38" t="s">
        <v>30</v>
      </c>
      <c r="J38">
        <v>37</v>
      </c>
      <c r="K38" t="s">
        <v>65</v>
      </c>
      <c r="L38" t="s">
        <v>53</v>
      </c>
      <c r="M38" s="1">
        <v>45436</v>
      </c>
      <c r="N38" t="s">
        <v>33</v>
      </c>
      <c r="O38" t="s">
        <v>199</v>
      </c>
      <c r="P38" t="s">
        <v>35</v>
      </c>
      <c r="Q38" t="s">
        <v>46</v>
      </c>
      <c r="R38">
        <v>1612.7</v>
      </c>
      <c r="S38">
        <v>1932.63</v>
      </c>
      <c r="T38">
        <v>278</v>
      </c>
      <c r="U38">
        <v>17700.169999999998</v>
      </c>
      <c r="V38">
        <v>372.22</v>
      </c>
      <c r="W38">
        <v>17327.95</v>
      </c>
      <c r="X38">
        <v>3193.88</v>
      </c>
      <c r="Y38" t="s">
        <v>56</v>
      </c>
      <c r="Z38">
        <v>7730.52</v>
      </c>
      <c r="AA38">
        <v>1279.7200000000003</v>
      </c>
    </row>
    <row r="39" spans="1:27" x14ac:dyDescent="0.3">
      <c r="A39" t="s">
        <v>200</v>
      </c>
      <c r="B39" s="1">
        <v>45093</v>
      </c>
      <c r="C39" t="s">
        <v>201</v>
      </c>
      <c r="D39" t="s">
        <v>202</v>
      </c>
      <c r="E39">
        <v>1</v>
      </c>
      <c r="F39" t="s">
        <v>51</v>
      </c>
      <c r="G39">
        <v>15</v>
      </c>
      <c r="H39" t="s">
        <v>203</v>
      </c>
      <c r="I39" t="s">
        <v>30</v>
      </c>
      <c r="J39">
        <v>44</v>
      </c>
      <c r="K39" t="s">
        <v>73</v>
      </c>
      <c r="L39" t="s">
        <v>53</v>
      </c>
      <c r="M39" s="1">
        <v>45408</v>
      </c>
      <c r="N39" t="s">
        <v>54</v>
      </c>
      <c r="O39" t="s">
        <v>204</v>
      </c>
      <c r="P39" t="s">
        <v>110</v>
      </c>
      <c r="Q39" t="s">
        <v>111</v>
      </c>
      <c r="R39">
        <v>830.87</v>
      </c>
      <c r="S39">
        <v>1283.0999999999999</v>
      </c>
      <c r="T39">
        <v>46</v>
      </c>
      <c r="U39">
        <v>16692.48</v>
      </c>
      <c r="V39">
        <v>3583.42</v>
      </c>
      <c r="W39">
        <v>13109.06</v>
      </c>
      <c r="X39">
        <v>866.77</v>
      </c>
      <c r="Y39" t="s">
        <v>47</v>
      </c>
      <c r="Z39">
        <v>1283.0999999999999</v>
      </c>
      <c r="AA39">
        <v>452.2299999999999</v>
      </c>
    </row>
    <row r="40" spans="1:27" x14ac:dyDescent="0.3">
      <c r="A40" t="s">
        <v>205</v>
      </c>
      <c r="B40" s="1">
        <v>45199</v>
      </c>
      <c r="C40" t="s">
        <v>206</v>
      </c>
      <c r="D40" t="s">
        <v>207</v>
      </c>
      <c r="E40">
        <v>4</v>
      </c>
      <c r="F40" t="s">
        <v>90</v>
      </c>
      <c r="G40">
        <v>3</v>
      </c>
      <c r="H40" t="s">
        <v>208</v>
      </c>
      <c r="I40" t="s">
        <v>30</v>
      </c>
      <c r="J40">
        <v>23</v>
      </c>
      <c r="K40" t="s">
        <v>155</v>
      </c>
      <c r="L40" t="s">
        <v>108</v>
      </c>
      <c r="M40" s="1">
        <v>44688</v>
      </c>
      <c r="N40" t="s">
        <v>44</v>
      </c>
      <c r="O40" t="s">
        <v>209</v>
      </c>
      <c r="P40" t="s">
        <v>35</v>
      </c>
      <c r="Q40" t="s">
        <v>46</v>
      </c>
      <c r="R40">
        <v>4764.59</v>
      </c>
      <c r="S40">
        <v>5703.68</v>
      </c>
      <c r="T40">
        <v>87</v>
      </c>
      <c r="U40">
        <v>2184.61</v>
      </c>
      <c r="V40">
        <v>43.62</v>
      </c>
      <c r="W40">
        <v>2140.9899999999998</v>
      </c>
      <c r="X40">
        <v>888.03</v>
      </c>
      <c r="Y40" t="s">
        <v>83</v>
      </c>
      <c r="Z40">
        <v>22814.720000000001</v>
      </c>
      <c r="AA40">
        <v>3756.3600000000006</v>
      </c>
    </row>
    <row r="41" spans="1:27" x14ac:dyDescent="0.3">
      <c r="A41" t="s">
        <v>210</v>
      </c>
      <c r="B41" s="1">
        <v>45098</v>
      </c>
      <c r="C41" t="s">
        <v>211</v>
      </c>
      <c r="D41" t="s">
        <v>89</v>
      </c>
      <c r="E41">
        <v>5</v>
      </c>
      <c r="F41" t="s">
        <v>28</v>
      </c>
      <c r="G41">
        <v>0</v>
      </c>
      <c r="H41" t="s">
        <v>212</v>
      </c>
      <c r="I41" t="s">
        <v>30</v>
      </c>
      <c r="J41">
        <v>43</v>
      </c>
      <c r="K41" t="s">
        <v>92</v>
      </c>
      <c r="L41" t="s">
        <v>66</v>
      </c>
      <c r="M41" s="1">
        <v>44896</v>
      </c>
      <c r="N41" t="s">
        <v>54</v>
      </c>
      <c r="O41" t="s">
        <v>93</v>
      </c>
      <c r="P41" t="s">
        <v>94</v>
      </c>
      <c r="Q41" t="s">
        <v>46</v>
      </c>
      <c r="R41">
        <v>1290.44</v>
      </c>
      <c r="S41">
        <v>1756.94</v>
      </c>
      <c r="T41">
        <v>226</v>
      </c>
      <c r="U41">
        <v>10864.11</v>
      </c>
      <c r="V41">
        <v>514.4</v>
      </c>
      <c r="W41">
        <v>10349.709999999999</v>
      </c>
      <c r="X41">
        <v>3284.52</v>
      </c>
      <c r="Y41" t="s">
        <v>56</v>
      </c>
      <c r="Z41">
        <v>8784.7000000000007</v>
      </c>
      <c r="AA41">
        <v>2332.5</v>
      </c>
    </row>
    <row r="42" spans="1:27" x14ac:dyDescent="0.3">
      <c r="A42" t="s">
        <v>213</v>
      </c>
      <c r="B42" s="1">
        <v>45114</v>
      </c>
      <c r="C42" t="s">
        <v>214</v>
      </c>
      <c r="D42" t="s">
        <v>102</v>
      </c>
      <c r="E42">
        <v>1</v>
      </c>
      <c r="F42" t="s">
        <v>28</v>
      </c>
      <c r="G42">
        <v>15</v>
      </c>
      <c r="H42" t="s">
        <v>215</v>
      </c>
      <c r="I42" t="s">
        <v>80</v>
      </c>
      <c r="J42">
        <v>49</v>
      </c>
      <c r="K42" t="s">
        <v>42</v>
      </c>
      <c r="L42" t="s">
        <v>32</v>
      </c>
      <c r="M42" s="1">
        <v>44661</v>
      </c>
      <c r="N42" t="s">
        <v>33</v>
      </c>
      <c r="O42" t="s">
        <v>103</v>
      </c>
      <c r="P42" t="s">
        <v>94</v>
      </c>
      <c r="Q42" t="s">
        <v>46</v>
      </c>
      <c r="R42">
        <v>4398.43</v>
      </c>
      <c r="S42">
        <v>6683.28</v>
      </c>
      <c r="T42">
        <v>152</v>
      </c>
      <c r="U42">
        <v>15847.25</v>
      </c>
      <c r="V42">
        <v>3846.2</v>
      </c>
      <c r="W42">
        <v>12001.05</v>
      </c>
      <c r="X42">
        <v>3880.99</v>
      </c>
      <c r="Y42" t="s">
        <v>83</v>
      </c>
      <c r="Z42">
        <v>6683.28</v>
      </c>
      <c r="AA42">
        <v>2284.8499999999995</v>
      </c>
    </row>
    <row r="43" spans="1:27" x14ac:dyDescent="0.3">
      <c r="A43" t="s">
        <v>216</v>
      </c>
      <c r="B43" s="1">
        <v>44978</v>
      </c>
      <c r="C43" t="s">
        <v>88</v>
      </c>
      <c r="D43" t="s">
        <v>153</v>
      </c>
      <c r="E43">
        <v>1</v>
      </c>
      <c r="F43" t="s">
        <v>51</v>
      </c>
      <c r="G43">
        <v>15</v>
      </c>
      <c r="H43" t="s">
        <v>91</v>
      </c>
      <c r="I43" t="s">
        <v>80</v>
      </c>
      <c r="J43">
        <v>58</v>
      </c>
      <c r="K43" t="s">
        <v>92</v>
      </c>
      <c r="L43" t="s">
        <v>43</v>
      </c>
      <c r="M43" s="1">
        <v>45131</v>
      </c>
      <c r="N43" t="s">
        <v>33</v>
      </c>
      <c r="O43" t="s">
        <v>156</v>
      </c>
      <c r="P43" t="s">
        <v>35</v>
      </c>
      <c r="Q43" t="s">
        <v>36</v>
      </c>
      <c r="R43">
        <v>2340.46</v>
      </c>
      <c r="S43">
        <v>2600.46</v>
      </c>
      <c r="T43">
        <v>245</v>
      </c>
      <c r="U43">
        <v>15932.86</v>
      </c>
      <c r="V43">
        <v>2558.7399999999998</v>
      </c>
      <c r="W43">
        <v>13374.12</v>
      </c>
      <c r="X43">
        <v>1209.19</v>
      </c>
      <c r="Y43" t="s">
        <v>56</v>
      </c>
      <c r="Z43">
        <v>2600.46</v>
      </c>
      <c r="AA43">
        <v>260</v>
      </c>
    </row>
    <row r="44" spans="1:27" x14ac:dyDescent="0.3">
      <c r="A44" t="s">
        <v>217</v>
      </c>
      <c r="B44" s="1">
        <v>45261</v>
      </c>
      <c r="C44" t="s">
        <v>218</v>
      </c>
      <c r="D44" t="s">
        <v>219</v>
      </c>
      <c r="E44">
        <v>5</v>
      </c>
      <c r="F44" t="s">
        <v>90</v>
      </c>
      <c r="G44">
        <v>23</v>
      </c>
      <c r="H44" t="s">
        <v>220</v>
      </c>
      <c r="I44" t="s">
        <v>30</v>
      </c>
      <c r="J44">
        <v>33</v>
      </c>
      <c r="K44" t="s">
        <v>92</v>
      </c>
      <c r="L44" t="s">
        <v>53</v>
      </c>
      <c r="M44" s="1">
        <v>45305</v>
      </c>
      <c r="N44" t="s">
        <v>33</v>
      </c>
      <c r="O44" t="s">
        <v>221</v>
      </c>
      <c r="P44" t="s">
        <v>110</v>
      </c>
      <c r="Q44" t="s">
        <v>46</v>
      </c>
      <c r="R44">
        <v>2704.31</v>
      </c>
      <c r="S44">
        <v>4105</v>
      </c>
      <c r="T44">
        <v>48</v>
      </c>
      <c r="U44">
        <v>6568.65</v>
      </c>
      <c r="V44">
        <v>1508.32</v>
      </c>
      <c r="W44">
        <v>5060.33</v>
      </c>
      <c r="X44">
        <v>223.31</v>
      </c>
      <c r="Y44" t="s">
        <v>83</v>
      </c>
      <c r="Z44">
        <v>20525</v>
      </c>
      <c r="AA44">
        <v>7003.4500000000007</v>
      </c>
    </row>
    <row r="45" spans="1:27" x14ac:dyDescent="0.3">
      <c r="A45" t="s">
        <v>222</v>
      </c>
      <c r="B45" s="1">
        <v>45085</v>
      </c>
      <c r="C45" t="s">
        <v>159</v>
      </c>
      <c r="D45" t="s">
        <v>223</v>
      </c>
      <c r="E45">
        <v>6</v>
      </c>
      <c r="F45" t="s">
        <v>28</v>
      </c>
      <c r="G45">
        <v>0</v>
      </c>
      <c r="H45" t="s">
        <v>160</v>
      </c>
      <c r="I45" t="s">
        <v>80</v>
      </c>
      <c r="J45">
        <v>55</v>
      </c>
      <c r="K45" t="s">
        <v>155</v>
      </c>
      <c r="L45" t="s">
        <v>108</v>
      </c>
      <c r="M45" s="1">
        <v>45619</v>
      </c>
      <c r="N45" t="s">
        <v>44</v>
      </c>
      <c r="O45" t="s">
        <v>224</v>
      </c>
      <c r="P45" t="s">
        <v>35</v>
      </c>
      <c r="Q45" t="s">
        <v>111</v>
      </c>
      <c r="R45">
        <v>3470.49</v>
      </c>
      <c r="S45">
        <v>5407.89</v>
      </c>
      <c r="T45">
        <v>141</v>
      </c>
      <c r="U45">
        <v>16730.79</v>
      </c>
      <c r="V45">
        <v>2016.96</v>
      </c>
      <c r="W45">
        <v>14713.83</v>
      </c>
      <c r="X45">
        <v>1667.91</v>
      </c>
      <c r="Y45" t="s">
        <v>37</v>
      </c>
      <c r="Z45">
        <v>32447.340000000004</v>
      </c>
      <c r="AA45">
        <v>11624.400000000003</v>
      </c>
    </row>
    <row r="46" spans="1:27" x14ac:dyDescent="0.3">
      <c r="A46" t="s">
        <v>225</v>
      </c>
      <c r="B46" s="1">
        <v>45266</v>
      </c>
      <c r="C46" t="s">
        <v>128</v>
      </c>
      <c r="D46" t="s">
        <v>226</v>
      </c>
      <c r="E46">
        <v>5</v>
      </c>
      <c r="F46" t="s">
        <v>51</v>
      </c>
      <c r="G46">
        <v>6</v>
      </c>
      <c r="H46" t="s">
        <v>130</v>
      </c>
      <c r="I46" t="s">
        <v>30</v>
      </c>
      <c r="J46">
        <v>36</v>
      </c>
      <c r="K46" t="s">
        <v>65</v>
      </c>
      <c r="L46" t="s">
        <v>81</v>
      </c>
      <c r="M46" s="1">
        <v>44599</v>
      </c>
      <c r="N46" t="s">
        <v>54</v>
      </c>
      <c r="O46" t="s">
        <v>227</v>
      </c>
      <c r="P46" t="s">
        <v>35</v>
      </c>
      <c r="Q46" t="s">
        <v>111</v>
      </c>
      <c r="R46">
        <v>762.02</v>
      </c>
      <c r="S46">
        <v>1161.9100000000001</v>
      </c>
      <c r="T46">
        <v>293</v>
      </c>
      <c r="U46">
        <v>1940.36</v>
      </c>
      <c r="V46">
        <v>332.85</v>
      </c>
      <c r="W46">
        <v>1607.51</v>
      </c>
      <c r="X46">
        <v>1519.04</v>
      </c>
      <c r="Y46" t="s">
        <v>47</v>
      </c>
      <c r="Z46">
        <v>5809.55</v>
      </c>
      <c r="AA46">
        <v>1999.4500000000005</v>
      </c>
    </row>
    <row r="47" spans="1:27" x14ac:dyDescent="0.3">
      <c r="A47" t="s">
        <v>228</v>
      </c>
      <c r="B47" s="1">
        <v>45290</v>
      </c>
      <c r="C47" t="s">
        <v>229</v>
      </c>
      <c r="D47" t="s">
        <v>230</v>
      </c>
      <c r="E47">
        <v>3</v>
      </c>
      <c r="F47" t="s">
        <v>28</v>
      </c>
      <c r="G47">
        <v>21</v>
      </c>
      <c r="H47" t="s">
        <v>231</v>
      </c>
      <c r="I47" t="s">
        <v>30</v>
      </c>
      <c r="J47">
        <v>52</v>
      </c>
      <c r="K47" t="s">
        <v>60</v>
      </c>
      <c r="L47" t="s">
        <v>53</v>
      </c>
      <c r="M47" s="1">
        <v>44657</v>
      </c>
      <c r="N47" t="s">
        <v>44</v>
      </c>
      <c r="O47" t="s">
        <v>232</v>
      </c>
      <c r="P47" t="s">
        <v>110</v>
      </c>
      <c r="Q47" t="s">
        <v>46</v>
      </c>
      <c r="R47">
        <v>4570.75</v>
      </c>
      <c r="S47">
        <v>5891.26</v>
      </c>
      <c r="T47">
        <v>285</v>
      </c>
      <c r="U47">
        <v>8725.6299999999992</v>
      </c>
      <c r="V47">
        <v>1826.01</v>
      </c>
      <c r="W47">
        <v>6899.62</v>
      </c>
      <c r="X47">
        <v>951.36</v>
      </c>
      <c r="Y47" t="s">
        <v>37</v>
      </c>
      <c r="Z47">
        <v>17673.78</v>
      </c>
      <c r="AA47">
        <v>3961.5300000000007</v>
      </c>
    </row>
    <row r="48" spans="1:27" x14ac:dyDescent="0.3">
      <c r="A48" t="s">
        <v>233</v>
      </c>
      <c r="B48" s="1">
        <v>45108</v>
      </c>
      <c r="C48" t="s">
        <v>211</v>
      </c>
      <c r="D48" t="s">
        <v>177</v>
      </c>
      <c r="E48">
        <v>2</v>
      </c>
      <c r="F48" t="s">
        <v>51</v>
      </c>
      <c r="G48">
        <v>9</v>
      </c>
      <c r="H48" t="s">
        <v>212</v>
      </c>
      <c r="I48" t="s">
        <v>30</v>
      </c>
      <c r="J48">
        <v>43</v>
      </c>
      <c r="K48" t="s">
        <v>92</v>
      </c>
      <c r="L48" t="s">
        <v>66</v>
      </c>
      <c r="M48" s="1">
        <v>44896</v>
      </c>
      <c r="N48" t="s">
        <v>54</v>
      </c>
      <c r="O48" t="s">
        <v>179</v>
      </c>
      <c r="P48" t="s">
        <v>35</v>
      </c>
      <c r="Q48" t="s">
        <v>46</v>
      </c>
      <c r="R48">
        <v>926.86</v>
      </c>
      <c r="S48">
        <v>1109.73</v>
      </c>
      <c r="T48">
        <v>287</v>
      </c>
      <c r="U48">
        <v>12763.24</v>
      </c>
      <c r="V48">
        <v>2966.28</v>
      </c>
      <c r="W48">
        <v>9796.9599999999991</v>
      </c>
      <c r="X48">
        <v>4077.61</v>
      </c>
      <c r="Y48" t="s">
        <v>83</v>
      </c>
      <c r="Z48">
        <v>2219.46</v>
      </c>
      <c r="AA48">
        <v>365.74</v>
      </c>
    </row>
    <row r="49" spans="1:27" x14ac:dyDescent="0.3">
      <c r="A49" t="s">
        <v>234</v>
      </c>
      <c r="B49" s="1">
        <v>45071</v>
      </c>
      <c r="C49" t="s">
        <v>235</v>
      </c>
      <c r="D49" t="s">
        <v>236</v>
      </c>
      <c r="E49">
        <v>5</v>
      </c>
      <c r="F49" t="s">
        <v>90</v>
      </c>
      <c r="G49">
        <v>4</v>
      </c>
      <c r="H49" t="s">
        <v>237</v>
      </c>
      <c r="I49" t="s">
        <v>80</v>
      </c>
      <c r="J49">
        <v>26</v>
      </c>
      <c r="K49" t="s">
        <v>155</v>
      </c>
      <c r="L49" t="s">
        <v>53</v>
      </c>
      <c r="M49" s="1">
        <v>45759</v>
      </c>
      <c r="N49" t="s">
        <v>54</v>
      </c>
      <c r="O49" t="s">
        <v>238</v>
      </c>
      <c r="P49" t="s">
        <v>68</v>
      </c>
      <c r="Q49" t="s">
        <v>120</v>
      </c>
      <c r="R49">
        <v>3957.37</v>
      </c>
      <c r="S49">
        <v>5045.3500000000004</v>
      </c>
      <c r="T49">
        <v>227</v>
      </c>
      <c r="U49">
        <v>1893.59</v>
      </c>
      <c r="V49">
        <v>6.08</v>
      </c>
      <c r="W49">
        <v>1887.51</v>
      </c>
      <c r="X49">
        <v>2769.97</v>
      </c>
      <c r="Y49" t="s">
        <v>47</v>
      </c>
      <c r="Z49">
        <v>25226.75</v>
      </c>
      <c r="AA49">
        <v>5439.9000000000024</v>
      </c>
    </row>
    <row r="50" spans="1:27" x14ac:dyDescent="0.3">
      <c r="A50" t="s">
        <v>239</v>
      </c>
      <c r="B50" s="1">
        <v>45013</v>
      </c>
      <c r="C50" t="s">
        <v>240</v>
      </c>
      <c r="D50" t="s">
        <v>223</v>
      </c>
      <c r="E50">
        <v>2</v>
      </c>
      <c r="F50" t="s">
        <v>78</v>
      </c>
      <c r="G50">
        <v>21</v>
      </c>
      <c r="H50" t="s">
        <v>241</v>
      </c>
      <c r="I50" t="s">
        <v>30</v>
      </c>
      <c r="J50">
        <v>22</v>
      </c>
      <c r="K50" t="s">
        <v>155</v>
      </c>
      <c r="L50" t="s">
        <v>108</v>
      </c>
      <c r="M50" s="1">
        <v>45190</v>
      </c>
      <c r="N50" t="s">
        <v>33</v>
      </c>
      <c r="O50" t="s">
        <v>224</v>
      </c>
      <c r="P50" t="s">
        <v>35</v>
      </c>
      <c r="Q50" t="s">
        <v>111</v>
      </c>
      <c r="R50">
        <v>3470.49</v>
      </c>
      <c r="S50">
        <v>5407.89</v>
      </c>
      <c r="T50">
        <v>141</v>
      </c>
      <c r="U50">
        <v>19553.73</v>
      </c>
      <c r="V50">
        <v>1332.8</v>
      </c>
      <c r="W50">
        <v>18220.93</v>
      </c>
      <c r="X50">
        <v>4508.3</v>
      </c>
      <c r="Y50" t="s">
        <v>37</v>
      </c>
      <c r="Z50">
        <v>10815.78</v>
      </c>
      <c r="AA50">
        <v>3874.8000000000011</v>
      </c>
    </row>
    <row r="51" spans="1:27" x14ac:dyDescent="0.3">
      <c r="A51" t="s">
        <v>242</v>
      </c>
      <c r="B51" s="1">
        <v>45229</v>
      </c>
      <c r="C51" t="s">
        <v>243</v>
      </c>
      <c r="D51" t="s">
        <v>183</v>
      </c>
      <c r="E51">
        <v>2</v>
      </c>
      <c r="F51" t="s">
        <v>28</v>
      </c>
      <c r="G51">
        <v>23</v>
      </c>
      <c r="H51" t="s">
        <v>244</v>
      </c>
      <c r="I51" t="s">
        <v>30</v>
      </c>
      <c r="J51">
        <v>35</v>
      </c>
      <c r="K51" t="s">
        <v>31</v>
      </c>
      <c r="L51" t="s">
        <v>43</v>
      </c>
      <c r="M51" s="1">
        <v>45259</v>
      </c>
      <c r="N51" t="s">
        <v>44</v>
      </c>
      <c r="O51" t="s">
        <v>185</v>
      </c>
      <c r="P51" t="s">
        <v>110</v>
      </c>
      <c r="Q51" t="s">
        <v>36</v>
      </c>
      <c r="R51">
        <v>1358.27</v>
      </c>
      <c r="S51">
        <v>1886.86</v>
      </c>
      <c r="T51">
        <v>153</v>
      </c>
      <c r="U51">
        <v>16453.349999999999</v>
      </c>
      <c r="V51">
        <v>3027.72</v>
      </c>
      <c r="W51">
        <v>13425.63</v>
      </c>
      <c r="X51">
        <v>1644.86</v>
      </c>
      <c r="Y51" t="s">
        <v>83</v>
      </c>
      <c r="Z51">
        <v>3773.72</v>
      </c>
      <c r="AA51">
        <v>1057.1799999999998</v>
      </c>
    </row>
    <row r="52" spans="1:27" x14ac:dyDescent="0.3">
      <c r="A52" t="s">
        <v>245</v>
      </c>
      <c r="B52" s="1">
        <v>45235</v>
      </c>
      <c r="C52" t="s">
        <v>171</v>
      </c>
      <c r="D52" t="s">
        <v>246</v>
      </c>
      <c r="E52">
        <v>6</v>
      </c>
      <c r="F52" t="s">
        <v>78</v>
      </c>
      <c r="G52">
        <v>11</v>
      </c>
      <c r="H52" t="s">
        <v>173</v>
      </c>
      <c r="I52" t="s">
        <v>30</v>
      </c>
      <c r="J52">
        <v>22</v>
      </c>
      <c r="K52" t="s">
        <v>155</v>
      </c>
      <c r="L52" t="s">
        <v>32</v>
      </c>
      <c r="M52" s="1">
        <v>45701</v>
      </c>
      <c r="N52" t="s">
        <v>44</v>
      </c>
      <c r="O52" t="s">
        <v>247</v>
      </c>
      <c r="P52" t="s">
        <v>110</v>
      </c>
      <c r="Q52" t="s">
        <v>120</v>
      </c>
      <c r="R52">
        <v>4133.24</v>
      </c>
      <c r="S52">
        <v>6302.13</v>
      </c>
      <c r="T52">
        <v>299</v>
      </c>
      <c r="U52">
        <v>14154.8</v>
      </c>
      <c r="V52">
        <v>3352.66</v>
      </c>
      <c r="W52">
        <v>10802.14</v>
      </c>
      <c r="X52">
        <v>1054.77</v>
      </c>
      <c r="Y52" t="s">
        <v>37</v>
      </c>
      <c r="Z52">
        <v>37812.78</v>
      </c>
      <c r="AA52">
        <v>13013.340000000002</v>
      </c>
    </row>
    <row r="53" spans="1:27" x14ac:dyDescent="0.3">
      <c r="A53" t="s">
        <v>248</v>
      </c>
      <c r="B53" s="1">
        <v>45008</v>
      </c>
      <c r="C53" t="s">
        <v>249</v>
      </c>
      <c r="D53" t="s">
        <v>134</v>
      </c>
      <c r="E53">
        <v>3</v>
      </c>
      <c r="F53" t="s">
        <v>28</v>
      </c>
      <c r="G53">
        <v>2</v>
      </c>
      <c r="H53" t="s">
        <v>250</v>
      </c>
      <c r="I53" t="s">
        <v>30</v>
      </c>
      <c r="J53">
        <v>53</v>
      </c>
      <c r="K53" t="s">
        <v>92</v>
      </c>
      <c r="L53" t="s">
        <v>81</v>
      </c>
      <c r="M53" s="1">
        <v>45745</v>
      </c>
      <c r="N53" t="s">
        <v>54</v>
      </c>
      <c r="O53" t="s">
        <v>136</v>
      </c>
      <c r="P53" t="s">
        <v>68</v>
      </c>
      <c r="Q53" t="s">
        <v>46</v>
      </c>
      <c r="R53">
        <v>3023.88</v>
      </c>
      <c r="S53">
        <v>3903.42</v>
      </c>
      <c r="T53">
        <v>217</v>
      </c>
      <c r="U53">
        <v>10063.23</v>
      </c>
      <c r="V53">
        <v>2088.39</v>
      </c>
      <c r="W53">
        <v>7974.84</v>
      </c>
      <c r="X53">
        <v>3566.82</v>
      </c>
      <c r="Y53" t="s">
        <v>37</v>
      </c>
      <c r="Z53">
        <v>11710.26</v>
      </c>
      <c r="AA53">
        <v>2638.62</v>
      </c>
    </row>
    <row r="54" spans="1:27" x14ac:dyDescent="0.3">
      <c r="A54" t="s">
        <v>251</v>
      </c>
      <c r="B54" s="1">
        <v>45017</v>
      </c>
      <c r="C54" t="s">
        <v>252</v>
      </c>
      <c r="D54" t="s">
        <v>106</v>
      </c>
      <c r="E54">
        <v>2</v>
      </c>
      <c r="F54" t="s">
        <v>78</v>
      </c>
      <c r="G54">
        <v>12</v>
      </c>
      <c r="H54" t="s">
        <v>253</v>
      </c>
      <c r="I54" t="s">
        <v>30</v>
      </c>
      <c r="J54">
        <v>29</v>
      </c>
      <c r="K54" t="s">
        <v>31</v>
      </c>
      <c r="L54" t="s">
        <v>32</v>
      </c>
      <c r="M54" s="1">
        <v>45154</v>
      </c>
      <c r="N54" t="s">
        <v>33</v>
      </c>
      <c r="O54" t="s">
        <v>109</v>
      </c>
      <c r="P54" t="s">
        <v>110</v>
      </c>
      <c r="Q54" t="s">
        <v>111</v>
      </c>
      <c r="R54">
        <v>1622.17</v>
      </c>
      <c r="S54">
        <v>1993.72</v>
      </c>
      <c r="T54">
        <v>262</v>
      </c>
      <c r="U54">
        <v>2788.65</v>
      </c>
      <c r="V54">
        <v>368.78</v>
      </c>
      <c r="W54">
        <v>2419.87</v>
      </c>
      <c r="X54">
        <v>1403.62</v>
      </c>
      <c r="Y54" t="s">
        <v>83</v>
      </c>
      <c r="Z54">
        <v>3987.44</v>
      </c>
      <c r="AA54">
        <v>743.09999999999991</v>
      </c>
    </row>
    <row r="55" spans="1:27" x14ac:dyDescent="0.3">
      <c r="A55" t="s">
        <v>254</v>
      </c>
      <c r="B55" s="1">
        <v>45061</v>
      </c>
      <c r="C55" t="s">
        <v>105</v>
      </c>
      <c r="D55" t="s">
        <v>255</v>
      </c>
      <c r="E55">
        <v>1</v>
      </c>
      <c r="F55" t="s">
        <v>78</v>
      </c>
      <c r="G55">
        <v>11</v>
      </c>
      <c r="H55" t="s">
        <v>107</v>
      </c>
      <c r="I55" t="s">
        <v>80</v>
      </c>
      <c r="J55">
        <v>22</v>
      </c>
      <c r="K55" t="s">
        <v>60</v>
      </c>
      <c r="L55" t="s">
        <v>108</v>
      </c>
      <c r="M55" s="1">
        <v>45351</v>
      </c>
      <c r="N55" t="s">
        <v>54</v>
      </c>
      <c r="O55" t="s">
        <v>256</v>
      </c>
      <c r="P55" t="s">
        <v>110</v>
      </c>
      <c r="Q55" t="s">
        <v>36</v>
      </c>
      <c r="R55">
        <v>1637.53</v>
      </c>
      <c r="S55">
        <v>1892.5</v>
      </c>
      <c r="T55">
        <v>169</v>
      </c>
      <c r="U55">
        <v>1183.28</v>
      </c>
      <c r="V55">
        <v>134.19999999999999</v>
      </c>
      <c r="W55">
        <v>1049.08</v>
      </c>
      <c r="X55">
        <v>1980.34</v>
      </c>
      <c r="Y55" t="s">
        <v>37</v>
      </c>
      <c r="Z55">
        <v>1892.5</v>
      </c>
      <c r="AA55">
        <v>254.97000000000003</v>
      </c>
    </row>
    <row r="56" spans="1:27" x14ac:dyDescent="0.3">
      <c r="A56" t="s">
        <v>257</v>
      </c>
      <c r="B56" s="1">
        <v>44995</v>
      </c>
      <c r="C56" t="s">
        <v>258</v>
      </c>
      <c r="D56" t="s">
        <v>259</v>
      </c>
      <c r="E56">
        <v>4</v>
      </c>
      <c r="F56" t="s">
        <v>51</v>
      </c>
      <c r="G56">
        <v>19</v>
      </c>
      <c r="H56" t="s">
        <v>260</v>
      </c>
      <c r="I56" t="s">
        <v>80</v>
      </c>
      <c r="J56">
        <v>54</v>
      </c>
      <c r="K56" t="s">
        <v>65</v>
      </c>
      <c r="L56" t="s">
        <v>108</v>
      </c>
      <c r="M56" s="1">
        <v>45431</v>
      </c>
      <c r="N56" t="s">
        <v>54</v>
      </c>
      <c r="O56" t="s">
        <v>261</v>
      </c>
      <c r="P56" t="s">
        <v>94</v>
      </c>
      <c r="Q56" t="s">
        <v>111</v>
      </c>
      <c r="R56">
        <v>4426.51</v>
      </c>
      <c r="S56">
        <v>5123.7299999999996</v>
      </c>
      <c r="T56">
        <v>298</v>
      </c>
      <c r="U56">
        <v>15664.97</v>
      </c>
      <c r="V56">
        <v>3464.54</v>
      </c>
      <c r="W56">
        <v>12200.43</v>
      </c>
      <c r="X56">
        <v>3912.95</v>
      </c>
      <c r="Y56" t="s">
        <v>83</v>
      </c>
      <c r="Z56">
        <v>20494.919999999998</v>
      </c>
      <c r="AA56">
        <v>2788.8799999999974</v>
      </c>
    </row>
    <row r="57" spans="1:27" x14ac:dyDescent="0.3">
      <c r="A57" t="s">
        <v>262</v>
      </c>
      <c r="B57" s="1">
        <v>44936</v>
      </c>
      <c r="C57" t="s">
        <v>263</v>
      </c>
      <c r="D57" t="s">
        <v>255</v>
      </c>
      <c r="E57">
        <v>4</v>
      </c>
      <c r="F57" t="s">
        <v>90</v>
      </c>
      <c r="G57">
        <v>1</v>
      </c>
      <c r="H57" t="s">
        <v>264</v>
      </c>
      <c r="I57" t="s">
        <v>80</v>
      </c>
      <c r="J57">
        <v>60</v>
      </c>
      <c r="K57" t="s">
        <v>42</v>
      </c>
      <c r="L57" t="s">
        <v>53</v>
      </c>
      <c r="M57" s="1">
        <v>44647</v>
      </c>
      <c r="N57" t="s">
        <v>54</v>
      </c>
      <c r="O57" t="s">
        <v>256</v>
      </c>
      <c r="P57" t="s">
        <v>110</v>
      </c>
      <c r="Q57" t="s">
        <v>36</v>
      </c>
      <c r="R57">
        <v>1637.53</v>
      </c>
      <c r="S57">
        <v>1892.5</v>
      </c>
      <c r="T57">
        <v>169</v>
      </c>
      <c r="U57">
        <v>13601.92</v>
      </c>
      <c r="V57">
        <v>2234.14</v>
      </c>
      <c r="W57">
        <v>11367.78</v>
      </c>
      <c r="X57">
        <v>204.05</v>
      </c>
      <c r="Y57" t="s">
        <v>56</v>
      </c>
      <c r="Z57">
        <v>7570</v>
      </c>
      <c r="AA57">
        <v>1019.8800000000001</v>
      </c>
    </row>
    <row r="58" spans="1:27" x14ac:dyDescent="0.3">
      <c r="A58" t="s">
        <v>265</v>
      </c>
      <c r="B58" s="1">
        <v>45228</v>
      </c>
      <c r="C58" t="s">
        <v>266</v>
      </c>
      <c r="D58" t="s">
        <v>202</v>
      </c>
      <c r="E58">
        <v>1</v>
      </c>
      <c r="F58" t="s">
        <v>90</v>
      </c>
      <c r="G58">
        <v>19</v>
      </c>
      <c r="H58" t="s">
        <v>267</v>
      </c>
      <c r="I58" t="s">
        <v>80</v>
      </c>
      <c r="J58">
        <v>37</v>
      </c>
      <c r="K58" t="s">
        <v>73</v>
      </c>
      <c r="L58" t="s">
        <v>108</v>
      </c>
      <c r="M58" s="1">
        <v>44909</v>
      </c>
      <c r="N58" t="s">
        <v>33</v>
      </c>
      <c r="O58" t="s">
        <v>204</v>
      </c>
      <c r="P58" t="s">
        <v>110</v>
      </c>
      <c r="Q58" t="s">
        <v>111</v>
      </c>
      <c r="R58">
        <v>830.87</v>
      </c>
      <c r="S58">
        <v>1283.0999999999999</v>
      </c>
      <c r="T58">
        <v>46</v>
      </c>
      <c r="U58">
        <v>2539.86</v>
      </c>
      <c r="V58">
        <v>445.48</v>
      </c>
      <c r="W58">
        <v>2094.38</v>
      </c>
      <c r="X58">
        <v>1236.23</v>
      </c>
      <c r="Y58" t="s">
        <v>47</v>
      </c>
      <c r="Z58">
        <v>1283.0999999999999</v>
      </c>
      <c r="AA58">
        <v>452.2299999999999</v>
      </c>
    </row>
    <row r="59" spans="1:27" x14ac:dyDescent="0.3">
      <c r="A59" t="s">
        <v>268</v>
      </c>
      <c r="B59" s="1">
        <v>44992</v>
      </c>
      <c r="C59" t="s">
        <v>138</v>
      </c>
      <c r="D59" t="s">
        <v>269</v>
      </c>
      <c r="E59">
        <v>5</v>
      </c>
      <c r="F59" t="s">
        <v>28</v>
      </c>
      <c r="G59">
        <v>15</v>
      </c>
      <c r="H59" t="s">
        <v>139</v>
      </c>
      <c r="I59" t="s">
        <v>80</v>
      </c>
      <c r="J59">
        <v>25</v>
      </c>
      <c r="K59" t="s">
        <v>53</v>
      </c>
      <c r="L59" t="s">
        <v>81</v>
      </c>
      <c r="M59" s="1">
        <v>44756</v>
      </c>
      <c r="N59" t="s">
        <v>54</v>
      </c>
      <c r="O59" t="s">
        <v>270</v>
      </c>
      <c r="P59" t="s">
        <v>35</v>
      </c>
      <c r="Q59" t="s">
        <v>120</v>
      </c>
      <c r="R59">
        <v>4675.05</v>
      </c>
      <c r="S59">
        <v>5769.35</v>
      </c>
      <c r="T59">
        <v>260</v>
      </c>
      <c r="U59">
        <v>5834.29</v>
      </c>
      <c r="V59">
        <v>634.52</v>
      </c>
      <c r="W59">
        <v>5199.7700000000004</v>
      </c>
      <c r="X59">
        <v>4080.26</v>
      </c>
      <c r="Y59" t="s">
        <v>83</v>
      </c>
      <c r="Z59">
        <v>28846.75</v>
      </c>
      <c r="AA59">
        <v>5471.5000000000009</v>
      </c>
    </row>
    <row r="60" spans="1:27" x14ac:dyDescent="0.3">
      <c r="A60" t="s">
        <v>271</v>
      </c>
      <c r="B60" s="1">
        <v>45137</v>
      </c>
      <c r="C60" t="s">
        <v>263</v>
      </c>
      <c r="D60" t="s">
        <v>272</v>
      </c>
      <c r="E60">
        <v>3</v>
      </c>
      <c r="F60" t="s">
        <v>51</v>
      </c>
      <c r="G60">
        <v>23</v>
      </c>
      <c r="H60" t="s">
        <v>264</v>
      </c>
      <c r="I60" t="s">
        <v>80</v>
      </c>
      <c r="J60">
        <v>60</v>
      </c>
      <c r="K60" t="s">
        <v>42</v>
      </c>
      <c r="L60" t="s">
        <v>53</v>
      </c>
      <c r="M60" s="1">
        <v>44647</v>
      </c>
      <c r="N60" t="s">
        <v>54</v>
      </c>
      <c r="O60" t="s">
        <v>273</v>
      </c>
      <c r="P60" t="s">
        <v>68</v>
      </c>
      <c r="Q60" t="s">
        <v>111</v>
      </c>
      <c r="R60">
        <v>1137.26</v>
      </c>
      <c r="S60">
        <v>1649.58</v>
      </c>
      <c r="T60">
        <v>243</v>
      </c>
      <c r="U60">
        <v>14457.23</v>
      </c>
      <c r="V60">
        <v>373.59</v>
      </c>
      <c r="W60">
        <v>14083.64</v>
      </c>
      <c r="X60">
        <v>2219.0500000000002</v>
      </c>
      <c r="Y60" t="s">
        <v>37</v>
      </c>
      <c r="Z60">
        <v>4948.74</v>
      </c>
      <c r="AA60">
        <v>1536.9599999999998</v>
      </c>
    </row>
    <row r="61" spans="1:27" x14ac:dyDescent="0.3">
      <c r="A61" t="s">
        <v>274</v>
      </c>
      <c r="B61" s="1">
        <v>45131</v>
      </c>
      <c r="C61" t="s">
        <v>275</v>
      </c>
      <c r="D61" t="s">
        <v>276</v>
      </c>
      <c r="E61">
        <v>5</v>
      </c>
      <c r="F61" t="s">
        <v>90</v>
      </c>
      <c r="G61">
        <v>10</v>
      </c>
      <c r="H61" t="s">
        <v>277</v>
      </c>
      <c r="I61" t="s">
        <v>30</v>
      </c>
      <c r="J61">
        <v>27</v>
      </c>
      <c r="K61" t="s">
        <v>42</v>
      </c>
      <c r="L61" t="s">
        <v>53</v>
      </c>
      <c r="M61" s="1">
        <v>45434</v>
      </c>
      <c r="N61" t="s">
        <v>54</v>
      </c>
      <c r="O61" t="s">
        <v>278</v>
      </c>
      <c r="P61" t="s">
        <v>35</v>
      </c>
      <c r="Q61" t="s">
        <v>111</v>
      </c>
      <c r="R61">
        <v>3479.48</v>
      </c>
      <c r="S61">
        <v>5364.57</v>
      </c>
      <c r="T61">
        <v>41</v>
      </c>
      <c r="U61">
        <v>6723.76</v>
      </c>
      <c r="V61">
        <v>994.42</v>
      </c>
      <c r="W61">
        <v>5729.34</v>
      </c>
      <c r="X61">
        <v>3980.73</v>
      </c>
      <c r="Y61" t="s">
        <v>37</v>
      </c>
      <c r="Z61">
        <v>26822.85</v>
      </c>
      <c r="AA61">
        <v>9425.4499999999989</v>
      </c>
    </row>
    <row r="62" spans="1:27" x14ac:dyDescent="0.3">
      <c r="A62" t="s">
        <v>279</v>
      </c>
      <c r="B62" s="1">
        <v>45278</v>
      </c>
      <c r="C62" t="s">
        <v>138</v>
      </c>
      <c r="D62" t="s">
        <v>177</v>
      </c>
      <c r="E62">
        <v>1</v>
      </c>
      <c r="F62" t="s">
        <v>90</v>
      </c>
      <c r="G62">
        <v>9</v>
      </c>
      <c r="H62" t="s">
        <v>139</v>
      </c>
      <c r="I62" t="s">
        <v>80</v>
      </c>
      <c r="J62">
        <v>25</v>
      </c>
      <c r="K62" t="s">
        <v>53</v>
      </c>
      <c r="L62" t="s">
        <v>81</v>
      </c>
      <c r="M62" s="1">
        <v>44756</v>
      </c>
      <c r="N62" t="s">
        <v>54</v>
      </c>
      <c r="O62" t="s">
        <v>179</v>
      </c>
      <c r="P62" t="s">
        <v>35</v>
      </c>
      <c r="Q62" t="s">
        <v>46</v>
      </c>
      <c r="R62">
        <v>926.86</v>
      </c>
      <c r="S62">
        <v>1109.73</v>
      </c>
      <c r="T62">
        <v>287</v>
      </c>
      <c r="U62">
        <v>14608.64</v>
      </c>
      <c r="V62">
        <v>3424.18</v>
      </c>
      <c r="W62">
        <v>11184.46</v>
      </c>
      <c r="X62">
        <v>2859.85</v>
      </c>
      <c r="Y62" t="s">
        <v>37</v>
      </c>
      <c r="Z62">
        <v>1109.73</v>
      </c>
      <c r="AA62">
        <v>182.87</v>
      </c>
    </row>
    <row r="63" spans="1:27" x14ac:dyDescent="0.3">
      <c r="A63" t="s">
        <v>280</v>
      </c>
      <c r="B63" s="1">
        <v>44968</v>
      </c>
      <c r="C63" t="s">
        <v>281</v>
      </c>
      <c r="D63" t="s">
        <v>272</v>
      </c>
      <c r="E63">
        <v>2</v>
      </c>
      <c r="F63" t="s">
        <v>51</v>
      </c>
      <c r="G63">
        <v>23</v>
      </c>
      <c r="H63" t="s">
        <v>282</v>
      </c>
      <c r="I63" t="s">
        <v>80</v>
      </c>
      <c r="J63">
        <v>43</v>
      </c>
      <c r="K63" t="s">
        <v>73</v>
      </c>
      <c r="L63" t="s">
        <v>108</v>
      </c>
      <c r="M63" s="1">
        <v>44601</v>
      </c>
      <c r="N63" t="s">
        <v>44</v>
      </c>
      <c r="O63" t="s">
        <v>273</v>
      </c>
      <c r="P63" t="s">
        <v>68</v>
      </c>
      <c r="Q63" t="s">
        <v>111</v>
      </c>
      <c r="R63">
        <v>1137.26</v>
      </c>
      <c r="S63">
        <v>1649.58</v>
      </c>
      <c r="T63">
        <v>243</v>
      </c>
      <c r="U63">
        <v>19874.669999999998</v>
      </c>
      <c r="V63">
        <v>1116.8900000000001</v>
      </c>
      <c r="W63">
        <v>18757.78</v>
      </c>
      <c r="X63">
        <v>122.56</v>
      </c>
      <c r="Y63" t="s">
        <v>56</v>
      </c>
      <c r="Z63">
        <v>3299.16</v>
      </c>
      <c r="AA63">
        <v>1024.6399999999999</v>
      </c>
    </row>
    <row r="64" spans="1:27" x14ac:dyDescent="0.3">
      <c r="A64" t="s">
        <v>283</v>
      </c>
      <c r="B64" s="1">
        <v>44976</v>
      </c>
      <c r="C64" t="s">
        <v>284</v>
      </c>
      <c r="D64" t="s">
        <v>259</v>
      </c>
      <c r="E64">
        <v>4</v>
      </c>
      <c r="F64" t="s">
        <v>78</v>
      </c>
      <c r="G64">
        <v>23</v>
      </c>
      <c r="H64" t="s">
        <v>285</v>
      </c>
      <c r="I64" t="s">
        <v>80</v>
      </c>
      <c r="J64">
        <v>28</v>
      </c>
      <c r="K64" t="s">
        <v>60</v>
      </c>
      <c r="L64" t="s">
        <v>81</v>
      </c>
      <c r="M64" s="1">
        <v>45046</v>
      </c>
      <c r="N64" t="s">
        <v>44</v>
      </c>
      <c r="O64" t="s">
        <v>261</v>
      </c>
      <c r="P64" t="s">
        <v>94</v>
      </c>
      <c r="Q64" t="s">
        <v>111</v>
      </c>
      <c r="R64">
        <v>4426.51</v>
      </c>
      <c r="S64">
        <v>5123.7299999999996</v>
      </c>
      <c r="T64">
        <v>298</v>
      </c>
      <c r="U64">
        <v>18235.96</v>
      </c>
      <c r="V64">
        <v>1276.19</v>
      </c>
      <c r="W64">
        <v>16959.77</v>
      </c>
      <c r="X64">
        <v>2426.14</v>
      </c>
      <c r="Y64" t="s">
        <v>56</v>
      </c>
      <c r="Z64">
        <v>20494.919999999998</v>
      </c>
      <c r="AA64">
        <v>2788.8799999999974</v>
      </c>
    </row>
    <row r="65" spans="1:27" x14ac:dyDescent="0.3">
      <c r="A65" t="s">
        <v>286</v>
      </c>
      <c r="B65" s="1">
        <v>45211</v>
      </c>
      <c r="C65" t="s">
        <v>206</v>
      </c>
      <c r="D65" t="s">
        <v>287</v>
      </c>
      <c r="E65">
        <v>4</v>
      </c>
      <c r="F65" t="s">
        <v>51</v>
      </c>
      <c r="G65">
        <v>20</v>
      </c>
      <c r="H65" t="s">
        <v>208</v>
      </c>
      <c r="I65" t="s">
        <v>30</v>
      </c>
      <c r="J65">
        <v>23</v>
      </c>
      <c r="K65" t="s">
        <v>155</v>
      </c>
      <c r="L65" t="s">
        <v>108</v>
      </c>
      <c r="M65" s="1">
        <v>44688</v>
      </c>
      <c r="N65" t="s">
        <v>44</v>
      </c>
      <c r="O65" t="s">
        <v>288</v>
      </c>
      <c r="P65" t="s">
        <v>68</v>
      </c>
      <c r="Q65" t="s">
        <v>46</v>
      </c>
      <c r="R65">
        <v>2345.7800000000002</v>
      </c>
      <c r="S65">
        <v>2891.96</v>
      </c>
      <c r="T65">
        <v>122</v>
      </c>
      <c r="U65">
        <v>16301.71</v>
      </c>
      <c r="V65">
        <v>3696.8</v>
      </c>
      <c r="W65">
        <v>12604.91</v>
      </c>
      <c r="X65">
        <v>4211.3900000000003</v>
      </c>
      <c r="Y65" t="s">
        <v>56</v>
      </c>
      <c r="Z65">
        <v>11567.84</v>
      </c>
      <c r="AA65">
        <v>2184.7199999999993</v>
      </c>
    </row>
    <row r="66" spans="1:27" x14ac:dyDescent="0.3">
      <c r="A66" t="s">
        <v>289</v>
      </c>
      <c r="B66" s="1">
        <v>45109</v>
      </c>
      <c r="C66" t="s">
        <v>187</v>
      </c>
      <c r="D66" t="s">
        <v>290</v>
      </c>
      <c r="E66">
        <v>6</v>
      </c>
      <c r="F66" t="s">
        <v>90</v>
      </c>
      <c r="G66">
        <v>11</v>
      </c>
      <c r="H66" t="s">
        <v>188</v>
      </c>
      <c r="I66" t="s">
        <v>80</v>
      </c>
      <c r="J66">
        <v>35</v>
      </c>
      <c r="K66" t="s">
        <v>60</v>
      </c>
      <c r="L66" t="s">
        <v>53</v>
      </c>
      <c r="M66" s="1">
        <v>45052</v>
      </c>
      <c r="N66" t="s">
        <v>44</v>
      </c>
      <c r="O66" t="s">
        <v>291</v>
      </c>
      <c r="P66" t="s">
        <v>68</v>
      </c>
      <c r="Q66" t="s">
        <v>111</v>
      </c>
      <c r="R66">
        <v>2649.82</v>
      </c>
      <c r="S66">
        <v>3522.16</v>
      </c>
      <c r="T66">
        <v>205</v>
      </c>
      <c r="U66">
        <v>10221.49</v>
      </c>
      <c r="V66">
        <v>2273.56</v>
      </c>
      <c r="W66">
        <v>7947.93</v>
      </c>
      <c r="X66">
        <v>703.77</v>
      </c>
      <c r="Y66" t="s">
        <v>37</v>
      </c>
      <c r="Z66">
        <v>21132.959999999999</v>
      </c>
      <c r="AA66">
        <v>5234.0399999999981</v>
      </c>
    </row>
    <row r="67" spans="1:27" x14ac:dyDescent="0.3">
      <c r="A67" t="s">
        <v>292</v>
      </c>
      <c r="B67" s="1">
        <v>44941</v>
      </c>
      <c r="C67" t="s">
        <v>293</v>
      </c>
      <c r="D67" t="s">
        <v>219</v>
      </c>
      <c r="E67">
        <v>6</v>
      </c>
      <c r="F67" t="s">
        <v>28</v>
      </c>
      <c r="G67">
        <v>10</v>
      </c>
      <c r="H67" t="s">
        <v>294</v>
      </c>
      <c r="I67" t="s">
        <v>80</v>
      </c>
      <c r="J67">
        <v>56</v>
      </c>
      <c r="K67" t="s">
        <v>53</v>
      </c>
      <c r="L67" t="s">
        <v>66</v>
      </c>
      <c r="M67" s="1">
        <v>45099</v>
      </c>
      <c r="N67" t="s">
        <v>54</v>
      </c>
      <c r="O67" t="s">
        <v>221</v>
      </c>
      <c r="P67" t="s">
        <v>110</v>
      </c>
      <c r="Q67" t="s">
        <v>46</v>
      </c>
      <c r="R67">
        <v>2704.31</v>
      </c>
      <c r="S67">
        <v>4105</v>
      </c>
      <c r="T67">
        <v>48</v>
      </c>
      <c r="U67">
        <v>13900.96</v>
      </c>
      <c r="V67">
        <v>2441.65</v>
      </c>
      <c r="W67">
        <v>11459.31</v>
      </c>
      <c r="X67">
        <v>2774.39</v>
      </c>
      <c r="Y67" t="s">
        <v>47</v>
      </c>
      <c r="Z67">
        <v>24630</v>
      </c>
      <c r="AA67">
        <v>8404.14</v>
      </c>
    </row>
    <row r="68" spans="1:27" x14ac:dyDescent="0.3">
      <c r="A68" t="s">
        <v>295</v>
      </c>
      <c r="B68" s="1">
        <v>45003</v>
      </c>
      <c r="C68" t="s">
        <v>171</v>
      </c>
      <c r="D68" t="s">
        <v>117</v>
      </c>
      <c r="E68">
        <v>6</v>
      </c>
      <c r="F68" t="s">
        <v>51</v>
      </c>
      <c r="G68">
        <v>16</v>
      </c>
      <c r="H68" t="s">
        <v>173</v>
      </c>
      <c r="I68" t="s">
        <v>30</v>
      </c>
      <c r="J68">
        <v>22</v>
      </c>
      <c r="K68" t="s">
        <v>155</v>
      </c>
      <c r="L68" t="s">
        <v>32</v>
      </c>
      <c r="M68" s="1">
        <v>45701</v>
      </c>
      <c r="N68" t="s">
        <v>44</v>
      </c>
      <c r="O68" t="s">
        <v>119</v>
      </c>
      <c r="P68" t="s">
        <v>110</v>
      </c>
      <c r="Q68" t="s">
        <v>120</v>
      </c>
      <c r="R68">
        <v>1390.81</v>
      </c>
      <c r="S68">
        <v>1874.61</v>
      </c>
      <c r="T68">
        <v>262</v>
      </c>
      <c r="U68">
        <v>17915.580000000002</v>
      </c>
      <c r="V68">
        <v>2708.11</v>
      </c>
      <c r="W68">
        <v>15207.47</v>
      </c>
      <c r="X68">
        <v>3980.01</v>
      </c>
      <c r="Y68" t="s">
        <v>83</v>
      </c>
      <c r="Z68">
        <v>11247.66</v>
      </c>
      <c r="AA68">
        <v>2902.7999999999997</v>
      </c>
    </row>
    <row r="69" spans="1:27" x14ac:dyDescent="0.3">
      <c r="A69" t="s">
        <v>296</v>
      </c>
      <c r="B69" s="1">
        <v>45181</v>
      </c>
      <c r="C69" t="s">
        <v>243</v>
      </c>
      <c r="D69" t="s">
        <v>287</v>
      </c>
      <c r="E69">
        <v>3</v>
      </c>
      <c r="F69" t="s">
        <v>28</v>
      </c>
      <c r="G69">
        <v>12</v>
      </c>
      <c r="H69" t="s">
        <v>244</v>
      </c>
      <c r="I69" t="s">
        <v>30</v>
      </c>
      <c r="J69">
        <v>35</v>
      </c>
      <c r="K69" t="s">
        <v>31</v>
      </c>
      <c r="L69" t="s">
        <v>43</v>
      </c>
      <c r="M69" s="1">
        <v>45259</v>
      </c>
      <c r="N69" t="s">
        <v>44</v>
      </c>
      <c r="O69" t="s">
        <v>288</v>
      </c>
      <c r="P69" t="s">
        <v>68</v>
      </c>
      <c r="Q69" t="s">
        <v>46</v>
      </c>
      <c r="R69">
        <v>2345.7800000000002</v>
      </c>
      <c r="S69">
        <v>2891.96</v>
      </c>
      <c r="T69">
        <v>122</v>
      </c>
      <c r="U69">
        <v>1115.01</v>
      </c>
      <c r="V69">
        <v>99.23</v>
      </c>
      <c r="W69">
        <v>1015.78</v>
      </c>
      <c r="X69">
        <v>4754.3500000000004</v>
      </c>
      <c r="Y69" t="s">
        <v>83</v>
      </c>
      <c r="Z69">
        <v>8675.880000000001</v>
      </c>
      <c r="AA69">
        <v>1638.5399999999995</v>
      </c>
    </row>
    <row r="70" spans="1:27" x14ac:dyDescent="0.3">
      <c r="A70" t="s">
        <v>297</v>
      </c>
      <c r="B70" s="1">
        <v>45281</v>
      </c>
      <c r="C70" t="s">
        <v>298</v>
      </c>
      <c r="D70" t="s">
        <v>117</v>
      </c>
      <c r="E70">
        <v>2</v>
      </c>
      <c r="F70" t="s">
        <v>90</v>
      </c>
      <c r="G70">
        <v>19</v>
      </c>
      <c r="H70" t="s">
        <v>299</v>
      </c>
      <c r="I70" t="s">
        <v>30</v>
      </c>
      <c r="J70">
        <v>60</v>
      </c>
      <c r="K70" t="s">
        <v>60</v>
      </c>
      <c r="L70" t="s">
        <v>53</v>
      </c>
      <c r="M70" s="1">
        <v>45201</v>
      </c>
      <c r="N70" t="s">
        <v>44</v>
      </c>
      <c r="O70" t="s">
        <v>119</v>
      </c>
      <c r="P70" t="s">
        <v>110</v>
      </c>
      <c r="Q70" t="s">
        <v>120</v>
      </c>
      <c r="R70">
        <v>1390.81</v>
      </c>
      <c r="S70">
        <v>1874.61</v>
      </c>
      <c r="T70">
        <v>262</v>
      </c>
      <c r="U70">
        <v>13185.45</v>
      </c>
      <c r="V70">
        <v>1612.9</v>
      </c>
      <c r="W70">
        <v>11572.55</v>
      </c>
      <c r="X70">
        <v>4343.01</v>
      </c>
      <c r="Y70" t="s">
        <v>83</v>
      </c>
      <c r="Z70">
        <v>3749.22</v>
      </c>
      <c r="AA70">
        <v>967.59999999999991</v>
      </c>
    </row>
    <row r="71" spans="1:27" x14ac:dyDescent="0.3">
      <c r="A71" t="s">
        <v>300</v>
      </c>
      <c r="B71" s="1">
        <v>45127</v>
      </c>
      <c r="C71" t="s">
        <v>301</v>
      </c>
      <c r="D71" t="s">
        <v>302</v>
      </c>
      <c r="E71">
        <v>1</v>
      </c>
      <c r="F71" t="s">
        <v>90</v>
      </c>
      <c r="G71">
        <v>14</v>
      </c>
      <c r="H71" t="s">
        <v>303</v>
      </c>
      <c r="I71" t="s">
        <v>80</v>
      </c>
      <c r="J71">
        <v>32</v>
      </c>
      <c r="K71" t="s">
        <v>92</v>
      </c>
      <c r="L71" t="s">
        <v>53</v>
      </c>
      <c r="M71" s="1">
        <v>44791</v>
      </c>
      <c r="N71" t="s">
        <v>54</v>
      </c>
      <c r="O71" t="s">
        <v>304</v>
      </c>
      <c r="P71" t="s">
        <v>68</v>
      </c>
      <c r="Q71" t="s">
        <v>120</v>
      </c>
      <c r="R71">
        <v>1858.72</v>
      </c>
      <c r="S71">
        <v>2175.88</v>
      </c>
      <c r="T71">
        <v>272</v>
      </c>
      <c r="U71">
        <v>16132.28</v>
      </c>
      <c r="V71">
        <v>2921.22</v>
      </c>
      <c r="W71">
        <v>13211.06</v>
      </c>
      <c r="X71">
        <v>1664.55</v>
      </c>
      <c r="Y71" t="s">
        <v>56</v>
      </c>
      <c r="Z71">
        <v>2175.88</v>
      </c>
      <c r="AA71">
        <v>317.16000000000008</v>
      </c>
    </row>
    <row r="72" spans="1:27" x14ac:dyDescent="0.3">
      <c r="A72" t="s">
        <v>305</v>
      </c>
      <c r="B72" s="1">
        <v>44970</v>
      </c>
      <c r="C72" t="s">
        <v>306</v>
      </c>
      <c r="D72" t="s">
        <v>190</v>
      </c>
      <c r="E72">
        <v>2</v>
      </c>
      <c r="F72" t="s">
        <v>28</v>
      </c>
      <c r="G72">
        <v>25</v>
      </c>
      <c r="H72" t="s">
        <v>307</v>
      </c>
      <c r="I72" t="s">
        <v>30</v>
      </c>
      <c r="J72">
        <v>23</v>
      </c>
      <c r="K72" t="s">
        <v>42</v>
      </c>
      <c r="L72" t="s">
        <v>32</v>
      </c>
      <c r="M72" s="1">
        <v>45214</v>
      </c>
      <c r="N72" t="s">
        <v>54</v>
      </c>
      <c r="O72" t="s">
        <v>191</v>
      </c>
      <c r="P72" t="s">
        <v>68</v>
      </c>
      <c r="Q72" t="s">
        <v>120</v>
      </c>
      <c r="R72">
        <v>2412.25</v>
      </c>
      <c r="S72">
        <v>3672.51</v>
      </c>
      <c r="T72">
        <v>100</v>
      </c>
      <c r="U72">
        <v>2332.34</v>
      </c>
      <c r="V72">
        <v>190.43</v>
      </c>
      <c r="W72">
        <v>2141.91</v>
      </c>
      <c r="X72">
        <v>2117.94</v>
      </c>
      <c r="Y72" t="s">
        <v>83</v>
      </c>
      <c r="Z72">
        <v>7345.02</v>
      </c>
      <c r="AA72">
        <v>2520.5200000000004</v>
      </c>
    </row>
    <row r="73" spans="1:27" x14ac:dyDescent="0.3">
      <c r="A73" t="s">
        <v>308</v>
      </c>
      <c r="B73" s="1">
        <v>45003</v>
      </c>
      <c r="C73" t="s">
        <v>309</v>
      </c>
      <c r="D73" t="s">
        <v>287</v>
      </c>
      <c r="E73">
        <v>4</v>
      </c>
      <c r="F73" t="s">
        <v>78</v>
      </c>
      <c r="G73">
        <v>21</v>
      </c>
      <c r="H73" t="s">
        <v>310</v>
      </c>
      <c r="I73" t="s">
        <v>80</v>
      </c>
      <c r="J73">
        <v>37</v>
      </c>
      <c r="K73" t="s">
        <v>60</v>
      </c>
      <c r="L73" t="s">
        <v>53</v>
      </c>
      <c r="M73" s="1">
        <v>45270</v>
      </c>
      <c r="N73" t="s">
        <v>44</v>
      </c>
      <c r="O73" t="s">
        <v>288</v>
      </c>
      <c r="P73" t="s">
        <v>68</v>
      </c>
      <c r="Q73" t="s">
        <v>46</v>
      </c>
      <c r="R73">
        <v>2345.7800000000002</v>
      </c>
      <c r="S73">
        <v>2891.96</v>
      </c>
      <c r="T73">
        <v>122</v>
      </c>
      <c r="U73">
        <v>7405.57</v>
      </c>
      <c r="V73">
        <v>1211.6400000000001</v>
      </c>
      <c r="W73">
        <v>6193.93</v>
      </c>
      <c r="X73">
        <v>2788.94</v>
      </c>
      <c r="Y73" t="s">
        <v>83</v>
      </c>
      <c r="Z73">
        <v>11567.84</v>
      </c>
      <c r="AA73">
        <v>2184.7199999999993</v>
      </c>
    </row>
    <row r="74" spans="1:27" x14ac:dyDescent="0.3">
      <c r="A74" t="s">
        <v>311</v>
      </c>
      <c r="B74" s="1">
        <v>45151</v>
      </c>
      <c r="C74" t="s">
        <v>312</v>
      </c>
      <c r="D74" t="s">
        <v>287</v>
      </c>
      <c r="E74">
        <v>4</v>
      </c>
      <c r="F74" t="s">
        <v>51</v>
      </c>
      <c r="G74">
        <v>18</v>
      </c>
      <c r="H74" t="s">
        <v>313</v>
      </c>
      <c r="I74" t="s">
        <v>30</v>
      </c>
      <c r="J74">
        <v>29</v>
      </c>
      <c r="K74" t="s">
        <v>155</v>
      </c>
      <c r="L74" t="s">
        <v>53</v>
      </c>
      <c r="M74" s="1">
        <v>44876</v>
      </c>
      <c r="N74" t="s">
        <v>33</v>
      </c>
      <c r="O74" t="s">
        <v>288</v>
      </c>
      <c r="P74" t="s">
        <v>68</v>
      </c>
      <c r="Q74" t="s">
        <v>46</v>
      </c>
      <c r="R74">
        <v>2345.7800000000002</v>
      </c>
      <c r="S74">
        <v>2891.96</v>
      </c>
      <c r="T74">
        <v>122</v>
      </c>
      <c r="U74">
        <v>15658.65</v>
      </c>
      <c r="V74">
        <v>134.18</v>
      </c>
      <c r="W74">
        <v>15524.47</v>
      </c>
      <c r="X74">
        <v>198.28</v>
      </c>
      <c r="Y74" t="s">
        <v>47</v>
      </c>
      <c r="Z74">
        <v>11567.84</v>
      </c>
      <c r="AA74">
        <v>2184.7199999999993</v>
      </c>
    </row>
    <row r="75" spans="1:27" x14ac:dyDescent="0.3">
      <c r="A75" t="s">
        <v>314</v>
      </c>
      <c r="B75" s="1">
        <v>45137</v>
      </c>
      <c r="C75" t="s">
        <v>196</v>
      </c>
      <c r="D75" t="s">
        <v>315</v>
      </c>
      <c r="E75">
        <v>1</v>
      </c>
      <c r="F75" t="s">
        <v>90</v>
      </c>
      <c r="G75">
        <v>15</v>
      </c>
      <c r="H75" t="s">
        <v>198</v>
      </c>
      <c r="I75" t="s">
        <v>30</v>
      </c>
      <c r="J75">
        <v>37</v>
      </c>
      <c r="K75" t="s">
        <v>65</v>
      </c>
      <c r="L75" t="s">
        <v>53</v>
      </c>
      <c r="M75" s="1">
        <v>45436</v>
      </c>
      <c r="N75" t="s">
        <v>33</v>
      </c>
      <c r="O75" t="s">
        <v>316</v>
      </c>
      <c r="P75" t="s">
        <v>110</v>
      </c>
      <c r="Q75" t="s">
        <v>120</v>
      </c>
      <c r="R75">
        <v>2359.8000000000002</v>
      </c>
      <c r="S75">
        <v>2910.71</v>
      </c>
      <c r="T75">
        <v>211</v>
      </c>
      <c r="U75">
        <v>4584.2700000000004</v>
      </c>
      <c r="V75">
        <v>1060.79</v>
      </c>
      <c r="W75">
        <v>3523.48</v>
      </c>
      <c r="X75">
        <v>4283.1000000000004</v>
      </c>
      <c r="Y75" t="s">
        <v>47</v>
      </c>
      <c r="Z75">
        <v>2910.71</v>
      </c>
      <c r="AA75">
        <v>550.90999999999985</v>
      </c>
    </row>
    <row r="76" spans="1:27" x14ac:dyDescent="0.3">
      <c r="A76" t="s">
        <v>317</v>
      </c>
      <c r="B76" s="1">
        <v>45230</v>
      </c>
      <c r="C76" t="s">
        <v>318</v>
      </c>
      <c r="D76" t="s">
        <v>197</v>
      </c>
      <c r="E76">
        <v>5</v>
      </c>
      <c r="F76" t="s">
        <v>28</v>
      </c>
      <c r="G76">
        <v>16</v>
      </c>
      <c r="H76" t="s">
        <v>319</v>
      </c>
      <c r="I76" t="s">
        <v>30</v>
      </c>
      <c r="J76">
        <v>41</v>
      </c>
      <c r="K76" t="s">
        <v>53</v>
      </c>
      <c r="L76" t="s">
        <v>81</v>
      </c>
      <c r="M76" s="1">
        <v>45379</v>
      </c>
      <c r="N76" t="s">
        <v>44</v>
      </c>
      <c r="O76" t="s">
        <v>199</v>
      </c>
      <c r="P76" t="s">
        <v>35</v>
      </c>
      <c r="Q76" t="s">
        <v>46</v>
      </c>
      <c r="R76">
        <v>1612.7</v>
      </c>
      <c r="S76">
        <v>1932.63</v>
      </c>
      <c r="T76">
        <v>278</v>
      </c>
      <c r="U76">
        <v>9580.7099999999991</v>
      </c>
      <c r="V76">
        <v>1948.82</v>
      </c>
      <c r="W76">
        <v>7631.89</v>
      </c>
      <c r="X76">
        <v>4877.58</v>
      </c>
      <c r="Y76" t="s">
        <v>37</v>
      </c>
      <c r="Z76">
        <v>9663.1500000000015</v>
      </c>
      <c r="AA76">
        <v>1599.6500000000003</v>
      </c>
    </row>
    <row r="77" spans="1:27" x14ac:dyDescent="0.3">
      <c r="A77" t="s">
        <v>320</v>
      </c>
      <c r="B77" s="1">
        <v>45170</v>
      </c>
      <c r="C77" t="s">
        <v>321</v>
      </c>
      <c r="D77" t="s">
        <v>322</v>
      </c>
      <c r="E77">
        <v>5</v>
      </c>
      <c r="F77" t="s">
        <v>90</v>
      </c>
      <c r="G77">
        <v>20</v>
      </c>
      <c r="H77" t="s">
        <v>323</v>
      </c>
      <c r="I77" t="s">
        <v>80</v>
      </c>
      <c r="J77">
        <v>33</v>
      </c>
      <c r="K77" t="s">
        <v>92</v>
      </c>
      <c r="L77" t="s">
        <v>32</v>
      </c>
      <c r="M77" s="1">
        <v>44850</v>
      </c>
      <c r="N77" t="s">
        <v>33</v>
      </c>
      <c r="O77" t="s">
        <v>324</v>
      </c>
      <c r="P77" t="s">
        <v>35</v>
      </c>
      <c r="Q77" t="s">
        <v>111</v>
      </c>
      <c r="R77">
        <v>3696.72</v>
      </c>
      <c r="S77">
        <v>4397.13</v>
      </c>
      <c r="T77">
        <v>92</v>
      </c>
      <c r="U77">
        <v>764.71</v>
      </c>
      <c r="V77">
        <v>37.590000000000003</v>
      </c>
      <c r="W77">
        <v>727.12</v>
      </c>
      <c r="X77">
        <v>4801.2700000000004</v>
      </c>
      <c r="Y77" t="s">
        <v>47</v>
      </c>
      <c r="Z77">
        <v>21985.65</v>
      </c>
      <c r="AA77">
        <v>3502.0500000000015</v>
      </c>
    </row>
    <row r="78" spans="1:27" x14ac:dyDescent="0.3">
      <c r="A78" t="s">
        <v>325</v>
      </c>
      <c r="B78" s="1">
        <v>45075</v>
      </c>
      <c r="C78" t="s">
        <v>326</v>
      </c>
      <c r="D78" t="s">
        <v>27</v>
      </c>
      <c r="E78">
        <v>2</v>
      </c>
      <c r="F78" t="s">
        <v>90</v>
      </c>
      <c r="G78">
        <v>22</v>
      </c>
      <c r="H78" t="s">
        <v>327</v>
      </c>
      <c r="I78" t="s">
        <v>80</v>
      </c>
      <c r="J78">
        <v>56</v>
      </c>
      <c r="K78" t="s">
        <v>42</v>
      </c>
      <c r="L78" t="s">
        <v>53</v>
      </c>
      <c r="M78" s="1">
        <v>45103</v>
      </c>
      <c r="N78" t="s">
        <v>54</v>
      </c>
      <c r="O78" t="s">
        <v>34</v>
      </c>
      <c r="P78" t="s">
        <v>35</v>
      </c>
      <c r="Q78" t="s">
        <v>36</v>
      </c>
      <c r="R78">
        <v>4318.8599999999997</v>
      </c>
      <c r="S78">
        <v>4880.6400000000003</v>
      </c>
      <c r="T78">
        <v>149</v>
      </c>
      <c r="U78">
        <v>10082.42</v>
      </c>
      <c r="V78">
        <v>870.58</v>
      </c>
      <c r="W78">
        <v>9211.84</v>
      </c>
      <c r="X78">
        <v>4021.57</v>
      </c>
      <c r="Y78" t="s">
        <v>37</v>
      </c>
      <c r="Z78">
        <v>9761.2800000000007</v>
      </c>
      <c r="AA78">
        <v>1123.5600000000013</v>
      </c>
    </row>
    <row r="79" spans="1:27" x14ac:dyDescent="0.3">
      <c r="A79" t="s">
        <v>328</v>
      </c>
      <c r="B79" s="1">
        <v>45228</v>
      </c>
      <c r="C79" t="s">
        <v>149</v>
      </c>
      <c r="D79" t="s">
        <v>329</v>
      </c>
      <c r="E79">
        <v>5</v>
      </c>
      <c r="F79" t="s">
        <v>28</v>
      </c>
      <c r="G79">
        <v>13</v>
      </c>
      <c r="H79" t="s">
        <v>150</v>
      </c>
      <c r="I79" t="s">
        <v>30</v>
      </c>
      <c r="J79">
        <v>44</v>
      </c>
      <c r="K79" t="s">
        <v>73</v>
      </c>
      <c r="L79" t="s">
        <v>81</v>
      </c>
      <c r="M79" s="1">
        <v>44918</v>
      </c>
      <c r="N79" t="s">
        <v>33</v>
      </c>
      <c r="O79" t="s">
        <v>330</v>
      </c>
      <c r="P79" t="s">
        <v>94</v>
      </c>
      <c r="Q79" t="s">
        <v>46</v>
      </c>
      <c r="R79">
        <v>3358.26</v>
      </c>
      <c r="S79">
        <v>4345.1099999999997</v>
      </c>
      <c r="T79">
        <v>179</v>
      </c>
      <c r="U79">
        <v>11558.45</v>
      </c>
      <c r="V79">
        <v>9.1999999999999993</v>
      </c>
      <c r="W79">
        <v>11549.25</v>
      </c>
      <c r="X79">
        <v>3377.69</v>
      </c>
      <c r="Y79" t="s">
        <v>83</v>
      </c>
      <c r="Z79">
        <v>21725.55</v>
      </c>
      <c r="AA79">
        <v>4934.2499999999973</v>
      </c>
    </row>
    <row r="80" spans="1:27" x14ac:dyDescent="0.3">
      <c r="A80" t="s">
        <v>331</v>
      </c>
      <c r="B80" s="1">
        <v>45256</v>
      </c>
      <c r="C80" t="s">
        <v>332</v>
      </c>
      <c r="D80" t="s">
        <v>236</v>
      </c>
      <c r="E80">
        <v>2</v>
      </c>
      <c r="F80" t="s">
        <v>51</v>
      </c>
      <c r="G80">
        <v>13</v>
      </c>
      <c r="H80" t="s">
        <v>333</v>
      </c>
      <c r="I80" t="s">
        <v>30</v>
      </c>
      <c r="J80">
        <v>20</v>
      </c>
      <c r="K80" t="s">
        <v>92</v>
      </c>
      <c r="L80" t="s">
        <v>32</v>
      </c>
      <c r="M80" s="1">
        <v>44792</v>
      </c>
      <c r="N80" t="s">
        <v>54</v>
      </c>
      <c r="O80" t="s">
        <v>238</v>
      </c>
      <c r="P80" t="s">
        <v>68</v>
      </c>
      <c r="Q80" t="s">
        <v>120</v>
      </c>
      <c r="R80">
        <v>3957.37</v>
      </c>
      <c r="S80">
        <v>5045.3500000000004</v>
      </c>
      <c r="T80">
        <v>227</v>
      </c>
      <c r="U80">
        <v>10016.67</v>
      </c>
      <c r="V80">
        <v>1852.63</v>
      </c>
      <c r="W80">
        <v>8164.04</v>
      </c>
      <c r="X80">
        <v>4011.79</v>
      </c>
      <c r="Y80" t="s">
        <v>37</v>
      </c>
      <c r="Z80">
        <v>10090.700000000001</v>
      </c>
      <c r="AA80">
        <v>2175.9600000000009</v>
      </c>
    </row>
    <row r="81" spans="1:27" x14ac:dyDescent="0.3">
      <c r="A81" t="s">
        <v>334</v>
      </c>
      <c r="B81" s="1">
        <v>45120</v>
      </c>
      <c r="C81" t="s">
        <v>149</v>
      </c>
      <c r="D81" t="s">
        <v>335</v>
      </c>
      <c r="E81">
        <v>2</v>
      </c>
      <c r="F81" t="s">
        <v>51</v>
      </c>
      <c r="G81">
        <v>20</v>
      </c>
      <c r="H81" t="s">
        <v>150</v>
      </c>
      <c r="I81" t="s">
        <v>30</v>
      </c>
      <c r="J81">
        <v>44</v>
      </c>
      <c r="K81" t="s">
        <v>73</v>
      </c>
      <c r="L81" t="s">
        <v>81</v>
      </c>
      <c r="M81" s="1">
        <v>44918</v>
      </c>
      <c r="N81" t="s">
        <v>33</v>
      </c>
      <c r="O81" t="s">
        <v>336</v>
      </c>
      <c r="P81" t="s">
        <v>68</v>
      </c>
      <c r="Q81" t="s">
        <v>36</v>
      </c>
      <c r="R81">
        <v>4727.87</v>
      </c>
      <c r="S81">
        <v>6561</v>
      </c>
      <c r="T81">
        <v>290</v>
      </c>
      <c r="U81">
        <v>3160.94</v>
      </c>
      <c r="V81">
        <v>456.28</v>
      </c>
      <c r="W81">
        <v>2704.66</v>
      </c>
      <c r="X81">
        <v>2897.16</v>
      </c>
      <c r="Y81" t="s">
        <v>37</v>
      </c>
      <c r="Z81">
        <v>13122</v>
      </c>
      <c r="AA81">
        <v>3666.26</v>
      </c>
    </row>
    <row r="82" spans="1:27" x14ac:dyDescent="0.3">
      <c r="A82" t="s">
        <v>337</v>
      </c>
      <c r="B82" s="1">
        <v>45233</v>
      </c>
      <c r="C82" t="s">
        <v>338</v>
      </c>
      <c r="D82" t="s">
        <v>77</v>
      </c>
      <c r="E82">
        <v>2</v>
      </c>
      <c r="F82" t="s">
        <v>51</v>
      </c>
      <c r="G82">
        <v>7</v>
      </c>
      <c r="H82" t="s">
        <v>339</v>
      </c>
      <c r="I82" t="s">
        <v>80</v>
      </c>
      <c r="J82">
        <v>23</v>
      </c>
      <c r="K82" t="s">
        <v>60</v>
      </c>
      <c r="L82" t="s">
        <v>43</v>
      </c>
      <c r="M82" s="1">
        <v>45385</v>
      </c>
      <c r="N82" t="s">
        <v>44</v>
      </c>
      <c r="O82" t="s">
        <v>82</v>
      </c>
      <c r="P82" t="s">
        <v>35</v>
      </c>
      <c r="Q82" t="s">
        <v>46</v>
      </c>
      <c r="R82">
        <v>1607.82</v>
      </c>
      <c r="S82">
        <v>2197.14</v>
      </c>
      <c r="T82">
        <v>27</v>
      </c>
      <c r="U82">
        <v>11371.09</v>
      </c>
      <c r="V82">
        <v>2120.6999999999998</v>
      </c>
      <c r="W82">
        <v>9250.39</v>
      </c>
      <c r="X82">
        <v>2886.72</v>
      </c>
      <c r="Y82" t="s">
        <v>83</v>
      </c>
      <c r="Z82">
        <v>4394.28</v>
      </c>
      <c r="AA82">
        <v>1178.6399999999999</v>
      </c>
    </row>
    <row r="83" spans="1:27" x14ac:dyDescent="0.3">
      <c r="A83" t="s">
        <v>340</v>
      </c>
      <c r="B83" s="1">
        <v>45038</v>
      </c>
      <c r="C83" t="s">
        <v>341</v>
      </c>
      <c r="D83" t="s">
        <v>342</v>
      </c>
      <c r="E83">
        <v>6</v>
      </c>
      <c r="F83" t="s">
        <v>28</v>
      </c>
      <c r="G83">
        <v>10</v>
      </c>
      <c r="H83" t="s">
        <v>343</v>
      </c>
      <c r="I83" t="s">
        <v>80</v>
      </c>
      <c r="J83">
        <v>53</v>
      </c>
      <c r="K83" t="s">
        <v>53</v>
      </c>
      <c r="L83" t="s">
        <v>32</v>
      </c>
      <c r="M83" s="1">
        <v>45386</v>
      </c>
      <c r="N83" t="s">
        <v>44</v>
      </c>
      <c r="O83" t="s">
        <v>344</v>
      </c>
      <c r="P83" t="s">
        <v>35</v>
      </c>
      <c r="Q83" t="s">
        <v>120</v>
      </c>
      <c r="R83">
        <v>1830.22</v>
      </c>
      <c r="S83">
        <v>2820.9</v>
      </c>
      <c r="T83">
        <v>11</v>
      </c>
      <c r="U83">
        <v>19784.29</v>
      </c>
      <c r="V83">
        <v>1269.6500000000001</v>
      </c>
      <c r="W83">
        <v>18514.64</v>
      </c>
      <c r="X83">
        <v>538.04999999999995</v>
      </c>
      <c r="Y83" t="s">
        <v>47</v>
      </c>
      <c r="Z83">
        <v>16925.400000000001</v>
      </c>
      <c r="AA83">
        <v>5944.08</v>
      </c>
    </row>
    <row r="84" spans="1:27" x14ac:dyDescent="0.3">
      <c r="A84" t="s">
        <v>345</v>
      </c>
      <c r="B84" s="1">
        <v>45152</v>
      </c>
      <c r="C84" t="s">
        <v>346</v>
      </c>
      <c r="D84" t="s">
        <v>98</v>
      </c>
      <c r="E84">
        <v>6</v>
      </c>
      <c r="F84" t="s">
        <v>28</v>
      </c>
      <c r="G84">
        <v>5</v>
      </c>
      <c r="H84" t="s">
        <v>347</v>
      </c>
      <c r="I84" t="s">
        <v>30</v>
      </c>
      <c r="J84">
        <v>23</v>
      </c>
      <c r="K84" t="s">
        <v>92</v>
      </c>
      <c r="L84" t="s">
        <v>81</v>
      </c>
      <c r="M84" s="1">
        <v>45595</v>
      </c>
      <c r="N84" t="s">
        <v>33</v>
      </c>
      <c r="O84" t="s">
        <v>100</v>
      </c>
      <c r="P84" t="s">
        <v>94</v>
      </c>
      <c r="Q84" t="s">
        <v>36</v>
      </c>
      <c r="R84">
        <v>4225.4799999999996</v>
      </c>
      <c r="S84">
        <v>6100.15</v>
      </c>
      <c r="T84">
        <v>279</v>
      </c>
      <c r="U84">
        <v>4057.22</v>
      </c>
      <c r="V84">
        <v>473.78</v>
      </c>
      <c r="W84">
        <v>3583.44</v>
      </c>
      <c r="X84">
        <v>281.07</v>
      </c>
      <c r="Y84" t="s">
        <v>47</v>
      </c>
      <c r="Z84">
        <v>36600.899999999994</v>
      </c>
      <c r="AA84">
        <v>11248.02</v>
      </c>
    </row>
    <row r="85" spans="1:27" x14ac:dyDescent="0.3">
      <c r="A85" t="s">
        <v>348</v>
      </c>
      <c r="B85" s="1">
        <v>45280</v>
      </c>
      <c r="C85" t="s">
        <v>152</v>
      </c>
      <c r="D85" t="s">
        <v>349</v>
      </c>
      <c r="E85">
        <v>5</v>
      </c>
      <c r="F85" t="s">
        <v>51</v>
      </c>
      <c r="G85">
        <v>15</v>
      </c>
      <c r="H85" t="s">
        <v>154</v>
      </c>
      <c r="I85" t="s">
        <v>80</v>
      </c>
      <c r="J85">
        <v>36</v>
      </c>
      <c r="K85" t="s">
        <v>155</v>
      </c>
      <c r="L85" t="s">
        <v>81</v>
      </c>
      <c r="M85" s="1">
        <v>45103</v>
      </c>
      <c r="N85" t="s">
        <v>33</v>
      </c>
      <c r="O85" t="s">
        <v>350</v>
      </c>
      <c r="P85" t="s">
        <v>35</v>
      </c>
      <c r="Q85" t="s">
        <v>120</v>
      </c>
      <c r="R85">
        <v>2100.67</v>
      </c>
      <c r="S85">
        <v>3046.71</v>
      </c>
      <c r="T85">
        <v>206</v>
      </c>
      <c r="U85">
        <v>9079.64</v>
      </c>
      <c r="V85">
        <v>779.99</v>
      </c>
      <c r="W85">
        <v>8299.65</v>
      </c>
      <c r="X85">
        <v>3540.02</v>
      </c>
      <c r="Y85" t="s">
        <v>56</v>
      </c>
      <c r="Z85">
        <v>15233.55</v>
      </c>
      <c r="AA85">
        <v>4730.2</v>
      </c>
    </row>
    <row r="86" spans="1:27" x14ac:dyDescent="0.3">
      <c r="A86" t="s">
        <v>351</v>
      </c>
      <c r="B86" s="1">
        <v>45168</v>
      </c>
      <c r="C86" t="s">
        <v>182</v>
      </c>
      <c r="D86" t="s">
        <v>349</v>
      </c>
      <c r="E86">
        <v>3</v>
      </c>
      <c r="F86" t="s">
        <v>90</v>
      </c>
      <c r="G86">
        <v>3</v>
      </c>
      <c r="H86" t="s">
        <v>184</v>
      </c>
      <c r="I86" t="s">
        <v>80</v>
      </c>
      <c r="J86">
        <v>40</v>
      </c>
      <c r="K86" t="s">
        <v>65</v>
      </c>
      <c r="L86" t="s">
        <v>43</v>
      </c>
      <c r="M86" s="1">
        <v>44995</v>
      </c>
      <c r="N86" t="s">
        <v>33</v>
      </c>
      <c r="O86" t="s">
        <v>350</v>
      </c>
      <c r="P86" t="s">
        <v>35</v>
      </c>
      <c r="Q86" t="s">
        <v>120</v>
      </c>
      <c r="R86">
        <v>2100.67</v>
      </c>
      <c r="S86">
        <v>3046.71</v>
      </c>
      <c r="T86">
        <v>206</v>
      </c>
      <c r="U86">
        <v>6943.77</v>
      </c>
      <c r="V86">
        <v>1400.42</v>
      </c>
      <c r="W86">
        <v>5543.35</v>
      </c>
      <c r="X86">
        <v>1200.7</v>
      </c>
      <c r="Y86" t="s">
        <v>47</v>
      </c>
      <c r="Z86">
        <v>9140.130000000001</v>
      </c>
      <c r="AA86">
        <v>2838.12</v>
      </c>
    </row>
    <row r="87" spans="1:27" x14ac:dyDescent="0.3">
      <c r="A87" t="s">
        <v>352</v>
      </c>
      <c r="B87" s="1">
        <v>45228</v>
      </c>
      <c r="C87" t="s">
        <v>353</v>
      </c>
      <c r="D87" t="s">
        <v>354</v>
      </c>
      <c r="E87">
        <v>1</v>
      </c>
      <c r="F87" t="s">
        <v>28</v>
      </c>
      <c r="G87">
        <v>4</v>
      </c>
      <c r="H87" t="s">
        <v>355</v>
      </c>
      <c r="I87" t="s">
        <v>80</v>
      </c>
      <c r="J87">
        <v>28</v>
      </c>
      <c r="K87" t="s">
        <v>42</v>
      </c>
      <c r="L87" t="s">
        <v>43</v>
      </c>
      <c r="M87" s="1">
        <v>44997</v>
      </c>
      <c r="N87" t="s">
        <v>33</v>
      </c>
      <c r="O87" t="s">
        <v>356</v>
      </c>
      <c r="P87" t="s">
        <v>68</v>
      </c>
      <c r="Q87" t="s">
        <v>120</v>
      </c>
      <c r="R87">
        <v>3959.29</v>
      </c>
      <c r="S87">
        <v>5340.73</v>
      </c>
      <c r="T87">
        <v>91</v>
      </c>
      <c r="U87">
        <v>3669.18</v>
      </c>
      <c r="V87">
        <v>404.38</v>
      </c>
      <c r="W87">
        <v>3264.8</v>
      </c>
      <c r="X87">
        <v>1355.84</v>
      </c>
      <c r="Y87" t="s">
        <v>56</v>
      </c>
      <c r="Z87">
        <v>5340.73</v>
      </c>
      <c r="AA87">
        <v>1381.4399999999996</v>
      </c>
    </row>
    <row r="88" spans="1:27" x14ac:dyDescent="0.3">
      <c r="A88" t="s">
        <v>357</v>
      </c>
      <c r="B88" s="1">
        <v>45218</v>
      </c>
      <c r="C88" t="s">
        <v>58</v>
      </c>
      <c r="D88" t="s">
        <v>207</v>
      </c>
      <c r="E88">
        <v>4</v>
      </c>
      <c r="F88" t="s">
        <v>28</v>
      </c>
      <c r="G88">
        <v>23</v>
      </c>
      <c r="H88" t="s">
        <v>59</v>
      </c>
      <c r="I88" t="s">
        <v>30</v>
      </c>
      <c r="J88">
        <v>25</v>
      </c>
      <c r="K88" t="s">
        <v>60</v>
      </c>
      <c r="L88" t="s">
        <v>53</v>
      </c>
      <c r="M88" s="1">
        <v>44898</v>
      </c>
      <c r="N88" t="s">
        <v>44</v>
      </c>
      <c r="O88" t="s">
        <v>209</v>
      </c>
      <c r="P88" t="s">
        <v>35</v>
      </c>
      <c r="Q88" t="s">
        <v>46</v>
      </c>
      <c r="R88">
        <v>4764.59</v>
      </c>
      <c r="S88">
        <v>5703.68</v>
      </c>
      <c r="T88">
        <v>87</v>
      </c>
      <c r="U88">
        <v>2874.86</v>
      </c>
      <c r="V88">
        <v>192.67</v>
      </c>
      <c r="W88">
        <v>2682.19</v>
      </c>
      <c r="X88">
        <v>1716.22</v>
      </c>
      <c r="Y88" t="s">
        <v>37</v>
      </c>
      <c r="Z88">
        <v>22814.720000000001</v>
      </c>
      <c r="AA88">
        <v>3756.3600000000006</v>
      </c>
    </row>
    <row r="89" spans="1:27" x14ac:dyDescent="0.3">
      <c r="A89" t="s">
        <v>358</v>
      </c>
      <c r="B89" s="1">
        <v>45255</v>
      </c>
      <c r="C89" t="s">
        <v>359</v>
      </c>
      <c r="D89" t="s">
        <v>259</v>
      </c>
      <c r="E89">
        <v>5</v>
      </c>
      <c r="F89" t="s">
        <v>28</v>
      </c>
      <c r="G89">
        <v>0</v>
      </c>
      <c r="H89" t="s">
        <v>360</v>
      </c>
      <c r="I89" t="s">
        <v>30</v>
      </c>
      <c r="J89">
        <v>24</v>
      </c>
      <c r="K89" t="s">
        <v>31</v>
      </c>
      <c r="L89" t="s">
        <v>81</v>
      </c>
      <c r="M89" s="1">
        <v>45026</v>
      </c>
      <c r="N89" t="s">
        <v>54</v>
      </c>
      <c r="O89" t="s">
        <v>261</v>
      </c>
      <c r="P89" t="s">
        <v>94</v>
      </c>
      <c r="Q89" t="s">
        <v>111</v>
      </c>
      <c r="R89">
        <v>4426.51</v>
      </c>
      <c r="S89">
        <v>5123.7299999999996</v>
      </c>
      <c r="T89">
        <v>298</v>
      </c>
      <c r="U89">
        <v>14847.44</v>
      </c>
      <c r="V89">
        <v>3307.71</v>
      </c>
      <c r="W89">
        <v>11539.73</v>
      </c>
      <c r="X89">
        <v>921.99</v>
      </c>
      <c r="Y89" t="s">
        <v>83</v>
      </c>
      <c r="Z89">
        <v>25618.649999999998</v>
      </c>
      <c r="AA89">
        <v>3486.0999999999967</v>
      </c>
    </row>
    <row r="90" spans="1:27" x14ac:dyDescent="0.3">
      <c r="A90" t="s">
        <v>361</v>
      </c>
      <c r="B90" s="1">
        <v>45080</v>
      </c>
      <c r="C90" t="s">
        <v>362</v>
      </c>
      <c r="D90" t="s">
        <v>354</v>
      </c>
      <c r="E90">
        <v>5</v>
      </c>
      <c r="F90" t="s">
        <v>78</v>
      </c>
      <c r="G90">
        <v>4</v>
      </c>
      <c r="H90" t="s">
        <v>363</v>
      </c>
      <c r="I90" t="s">
        <v>30</v>
      </c>
      <c r="J90">
        <v>37</v>
      </c>
      <c r="K90" t="s">
        <v>42</v>
      </c>
      <c r="L90" t="s">
        <v>81</v>
      </c>
      <c r="M90" s="1">
        <v>45596</v>
      </c>
      <c r="N90" t="s">
        <v>44</v>
      </c>
      <c r="O90" t="s">
        <v>356</v>
      </c>
      <c r="P90" t="s">
        <v>68</v>
      </c>
      <c r="Q90" t="s">
        <v>120</v>
      </c>
      <c r="R90">
        <v>3959.29</v>
      </c>
      <c r="S90">
        <v>5340.73</v>
      </c>
      <c r="T90">
        <v>91</v>
      </c>
      <c r="U90">
        <v>4356.9799999999996</v>
      </c>
      <c r="V90">
        <v>1081.6300000000001</v>
      </c>
      <c r="W90">
        <v>3275.35</v>
      </c>
      <c r="X90">
        <v>1381.94</v>
      </c>
      <c r="Y90" t="s">
        <v>37</v>
      </c>
      <c r="Z90">
        <v>26703.649999999998</v>
      </c>
      <c r="AA90">
        <v>6907.199999999998</v>
      </c>
    </row>
    <row r="91" spans="1:27" x14ac:dyDescent="0.3">
      <c r="A91" t="s">
        <v>364</v>
      </c>
      <c r="B91" s="1">
        <v>45004</v>
      </c>
      <c r="C91" t="s">
        <v>365</v>
      </c>
      <c r="D91" t="s">
        <v>259</v>
      </c>
      <c r="E91">
        <v>3</v>
      </c>
      <c r="F91" t="s">
        <v>78</v>
      </c>
      <c r="G91">
        <v>24</v>
      </c>
      <c r="H91" t="s">
        <v>366</v>
      </c>
      <c r="I91" t="s">
        <v>80</v>
      </c>
      <c r="J91">
        <v>50</v>
      </c>
      <c r="K91" t="s">
        <v>65</v>
      </c>
      <c r="L91" t="s">
        <v>66</v>
      </c>
      <c r="M91" s="1">
        <v>45739</v>
      </c>
      <c r="N91" t="s">
        <v>44</v>
      </c>
      <c r="O91" t="s">
        <v>261</v>
      </c>
      <c r="P91" t="s">
        <v>94</v>
      </c>
      <c r="Q91" t="s">
        <v>111</v>
      </c>
      <c r="R91">
        <v>4426.51</v>
      </c>
      <c r="S91">
        <v>5123.7299999999996</v>
      </c>
      <c r="T91">
        <v>298</v>
      </c>
      <c r="U91">
        <v>17995.93</v>
      </c>
      <c r="V91">
        <v>3920.9</v>
      </c>
      <c r="W91">
        <v>14075.03</v>
      </c>
      <c r="X91">
        <v>2285.09</v>
      </c>
      <c r="Y91" t="s">
        <v>56</v>
      </c>
      <c r="Z91">
        <v>15371.189999999999</v>
      </c>
      <c r="AA91">
        <v>2091.659999999998</v>
      </c>
    </row>
    <row r="92" spans="1:27" x14ac:dyDescent="0.3">
      <c r="A92" t="s">
        <v>367</v>
      </c>
      <c r="B92" s="1">
        <v>45060</v>
      </c>
      <c r="C92" t="s">
        <v>368</v>
      </c>
      <c r="D92" t="s">
        <v>259</v>
      </c>
      <c r="E92">
        <v>3</v>
      </c>
      <c r="F92" t="s">
        <v>28</v>
      </c>
      <c r="G92">
        <v>20</v>
      </c>
      <c r="H92" t="s">
        <v>369</v>
      </c>
      <c r="I92" t="s">
        <v>80</v>
      </c>
      <c r="J92">
        <v>30</v>
      </c>
      <c r="K92" t="s">
        <v>73</v>
      </c>
      <c r="L92" t="s">
        <v>108</v>
      </c>
      <c r="M92" s="1">
        <v>44835</v>
      </c>
      <c r="N92" t="s">
        <v>54</v>
      </c>
      <c r="O92" t="s">
        <v>261</v>
      </c>
      <c r="P92" t="s">
        <v>94</v>
      </c>
      <c r="Q92" t="s">
        <v>111</v>
      </c>
      <c r="R92">
        <v>4426.51</v>
      </c>
      <c r="S92">
        <v>5123.7299999999996</v>
      </c>
      <c r="T92">
        <v>298</v>
      </c>
      <c r="U92">
        <v>11523.62</v>
      </c>
      <c r="V92">
        <v>566.87</v>
      </c>
      <c r="W92">
        <v>10956.75</v>
      </c>
      <c r="X92">
        <v>2778.47</v>
      </c>
      <c r="Y92" t="s">
        <v>37</v>
      </c>
      <c r="Z92">
        <v>15371.189999999999</v>
      </c>
      <c r="AA92">
        <v>2091.659999999998</v>
      </c>
    </row>
    <row r="93" spans="1:27" x14ac:dyDescent="0.3">
      <c r="A93" t="s">
        <v>370</v>
      </c>
      <c r="B93" s="1">
        <v>44968</v>
      </c>
      <c r="C93" t="s">
        <v>371</v>
      </c>
      <c r="D93" t="s">
        <v>207</v>
      </c>
      <c r="E93">
        <v>3</v>
      </c>
      <c r="F93" t="s">
        <v>78</v>
      </c>
      <c r="G93">
        <v>13</v>
      </c>
      <c r="H93" t="s">
        <v>372</v>
      </c>
      <c r="I93" t="s">
        <v>30</v>
      </c>
      <c r="J93">
        <v>49</v>
      </c>
      <c r="K93" t="s">
        <v>53</v>
      </c>
      <c r="L93" t="s">
        <v>53</v>
      </c>
      <c r="M93" s="1">
        <v>45317</v>
      </c>
      <c r="N93" t="s">
        <v>44</v>
      </c>
      <c r="O93" t="s">
        <v>209</v>
      </c>
      <c r="P93" t="s">
        <v>35</v>
      </c>
      <c r="Q93" t="s">
        <v>46</v>
      </c>
      <c r="R93">
        <v>4764.59</v>
      </c>
      <c r="S93">
        <v>5703.68</v>
      </c>
      <c r="T93">
        <v>87</v>
      </c>
      <c r="U93">
        <v>1614.91</v>
      </c>
      <c r="V93">
        <v>204.76</v>
      </c>
      <c r="W93">
        <v>1410.15</v>
      </c>
      <c r="X93">
        <v>3597.91</v>
      </c>
      <c r="Y93" t="s">
        <v>83</v>
      </c>
      <c r="Z93">
        <v>17111.04</v>
      </c>
      <c r="AA93">
        <v>2817.2700000000004</v>
      </c>
    </row>
    <row r="94" spans="1:27" x14ac:dyDescent="0.3">
      <c r="A94" t="s">
        <v>373</v>
      </c>
      <c r="B94" s="1">
        <v>45040</v>
      </c>
      <c r="C94" t="s">
        <v>374</v>
      </c>
      <c r="D94" t="s">
        <v>375</v>
      </c>
      <c r="E94">
        <v>5</v>
      </c>
      <c r="F94" t="s">
        <v>28</v>
      </c>
      <c r="G94">
        <v>22</v>
      </c>
      <c r="H94" t="s">
        <v>376</v>
      </c>
      <c r="I94" t="s">
        <v>80</v>
      </c>
      <c r="J94">
        <v>24</v>
      </c>
      <c r="K94" t="s">
        <v>92</v>
      </c>
      <c r="L94" t="s">
        <v>43</v>
      </c>
      <c r="M94" s="1">
        <v>44931</v>
      </c>
      <c r="N94" t="s">
        <v>54</v>
      </c>
      <c r="O94" t="s">
        <v>377</v>
      </c>
      <c r="P94" t="s">
        <v>94</v>
      </c>
      <c r="Q94" t="s">
        <v>36</v>
      </c>
      <c r="R94">
        <v>2849.7</v>
      </c>
      <c r="S94">
        <v>3862</v>
      </c>
      <c r="T94">
        <v>78</v>
      </c>
      <c r="U94">
        <v>6616.38</v>
      </c>
      <c r="V94">
        <v>1459.53</v>
      </c>
      <c r="W94">
        <v>5156.8500000000004</v>
      </c>
      <c r="X94">
        <v>2821.3</v>
      </c>
      <c r="Y94" t="s">
        <v>37</v>
      </c>
      <c r="Z94">
        <v>19310</v>
      </c>
      <c r="AA94">
        <v>5061.5000000000009</v>
      </c>
    </row>
    <row r="95" spans="1:27" x14ac:dyDescent="0.3">
      <c r="A95" t="s">
        <v>378</v>
      </c>
      <c r="B95" s="1">
        <v>45284</v>
      </c>
      <c r="C95" t="s">
        <v>249</v>
      </c>
      <c r="D95" t="s">
        <v>354</v>
      </c>
      <c r="E95">
        <v>2</v>
      </c>
      <c r="F95" t="s">
        <v>90</v>
      </c>
      <c r="G95">
        <v>1</v>
      </c>
      <c r="H95" t="s">
        <v>250</v>
      </c>
      <c r="I95" t="s">
        <v>30</v>
      </c>
      <c r="J95">
        <v>53</v>
      </c>
      <c r="K95" t="s">
        <v>92</v>
      </c>
      <c r="L95" t="s">
        <v>81</v>
      </c>
      <c r="M95" s="1">
        <v>45745</v>
      </c>
      <c r="N95" t="s">
        <v>54</v>
      </c>
      <c r="O95" t="s">
        <v>356</v>
      </c>
      <c r="P95" t="s">
        <v>68</v>
      </c>
      <c r="Q95" t="s">
        <v>120</v>
      </c>
      <c r="R95">
        <v>3959.29</v>
      </c>
      <c r="S95">
        <v>5340.73</v>
      </c>
      <c r="T95">
        <v>91</v>
      </c>
      <c r="U95">
        <v>19901.16</v>
      </c>
      <c r="V95">
        <v>866.38</v>
      </c>
      <c r="W95">
        <v>19034.78</v>
      </c>
      <c r="X95">
        <v>2370.2399999999998</v>
      </c>
      <c r="Y95" t="s">
        <v>83</v>
      </c>
      <c r="Z95">
        <v>10681.46</v>
      </c>
      <c r="AA95">
        <v>2762.8799999999992</v>
      </c>
    </row>
    <row r="96" spans="1:27" x14ac:dyDescent="0.3">
      <c r="A96" t="s">
        <v>379</v>
      </c>
      <c r="B96" s="1">
        <v>45091</v>
      </c>
      <c r="C96" t="s">
        <v>380</v>
      </c>
      <c r="D96" t="s">
        <v>63</v>
      </c>
      <c r="E96">
        <v>6</v>
      </c>
      <c r="F96" t="s">
        <v>28</v>
      </c>
      <c r="G96">
        <v>15</v>
      </c>
      <c r="H96" t="s">
        <v>381</v>
      </c>
      <c r="I96" t="s">
        <v>30</v>
      </c>
      <c r="J96">
        <v>27</v>
      </c>
      <c r="K96" t="s">
        <v>155</v>
      </c>
      <c r="L96" t="s">
        <v>43</v>
      </c>
      <c r="M96" s="1">
        <v>45282</v>
      </c>
      <c r="N96" t="s">
        <v>54</v>
      </c>
      <c r="O96" t="s">
        <v>67</v>
      </c>
      <c r="P96" t="s">
        <v>68</v>
      </c>
      <c r="Q96" t="s">
        <v>46</v>
      </c>
      <c r="R96">
        <v>2961.83</v>
      </c>
      <c r="S96">
        <v>4189.8100000000004</v>
      </c>
      <c r="T96">
        <v>165</v>
      </c>
      <c r="U96">
        <v>14977.16</v>
      </c>
      <c r="V96">
        <v>528.36</v>
      </c>
      <c r="W96">
        <v>14448.8</v>
      </c>
      <c r="X96">
        <v>4753.22</v>
      </c>
      <c r="Y96" t="s">
        <v>83</v>
      </c>
      <c r="Z96">
        <v>25138.86</v>
      </c>
      <c r="AA96">
        <v>7367.8800000000028</v>
      </c>
    </row>
    <row r="97" spans="1:27" x14ac:dyDescent="0.3">
      <c r="A97" t="s">
        <v>382</v>
      </c>
      <c r="B97" s="1">
        <v>44989</v>
      </c>
      <c r="C97" t="s">
        <v>206</v>
      </c>
      <c r="D97" t="s">
        <v>102</v>
      </c>
      <c r="E97">
        <v>4</v>
      </c>
      <c r="F97" t="s">
        <v>28</v>
      </c>
      <c r="G97">
        <v>2</v>
      </c>
      <c r="H97" t="s">
        <v>208</v>
      </c>
      <c r="I97" t="s">
        <v>30</v>
      </c>
      <c r="J97">
        <v>23</v>
      </c>
      <c r="K97" t="s">
        <v>155</v>
      </c>
      <c r="L97" t="s">
        <v>108</v>
      </c>
      <c r="M97" s="1">
        <v>44688</v>
      </c>
      <c r="N97" t="s">
        <v>44</v>
      </c>
      <c r="O97" t="s">
        <v>103</v>
      </c>
      <c r="P97" t="s">
        <v>94</v>
      </c>
      <c r="Q97" t="s">
        <v>46</v>
      </c>
      <c r="R97">
        <v>4398.43</v>
      </c>
      <c r="S97">
        <v>6683.28</v>
      </c>
      <c r="T97">
        <v>152</v>
      </c>
      <c r="U97">
        <v>12240.43</v>
      </c>
      <c r="V97">
        <v>2810.07</v>
      </c>
      <c r="W97">
        <v>9430.36</v>
      </c>
      <c r="X97">
        <v>4032.92</v>
      </c>
      <c r="Y97" t="s">
        <v>47</v>
      </c>
      <c r="Z97">
        <v>26733.119999999999</v>
      </c>
      <c r="AA97">
        <v>9139.3999999999978</v>
      </c>
    </row>
    <row r="98" spans="1:27" x14ac:dyDescent="0.3">
      <c r="A98" t="s">
        <v>383</v>
      </c>
      <c r="B98" s="1">
        <v>45245</v>
      </c>
      <c r="C98" t="s">
        <v>384</v>
      </c>
      <c r="D98" t="s">
        <v>134</v>
      </c>
      <c r="E98">
        <v>4</v>
      </c>
      <c r="F98" t="s">
        <v>28</v>
      </c>
      <c r="G98">
        <v>10</v>
      </c>
      <c r="H98" t="s">
        <v>385</v>
      </c>
      <c r="I98" t="s">
        <v>30</v>
      </c>
      <c r="J98">
        <v>42</v>
      </c>
      <c r="K98" t="s">
        <v>53</v>
      </c>
      <c r="L98" t="s">
        <v>32</v>
      </c>
      <c r="M98" s="1">
        <v>44858</v>
      </c>
      <c r="N98" t="s">
        <v>44</v>
      </c>
      <c r="O98" t="s">
        <v>136</v>
      </c>
      <c r="P98" t="s">
        <v>68</v>
      </c>
      <c r="Q98" t="s">
        <v>46</v>
      </c>
      <c r="R98">
        <v>3023.88</v>
      </c>
      <c r="S98">
        <v>3903.42</v>
      </c>
      <c r="T98">
        <v>217</v>
      </c>
      <c r="U98">
        <v>1150.83</v>
      </c>
      <c r="V98">
        <v>14.33</v>
      </c>
      <c r="W98">
        <v>1136.5</v>
      </c>
      <c r="X98">
        <v>2619.3200000000002</v>
      </c>
      <c r="Y98" t="s">
        <v>47</v>
      </c>
      <c r="Z98">
        <v>15613.68</v>
      </c>
      <c r="AA98">
        <v>3518.16</v>
      </c>
    </row>
    <row r="99" spans="1:27" x14ac:dyDescent="0.3">
      <c r="A99" t="s">
        <v>386</v>
      </c>
      <c r="B99" s="1">
        <v>45204</v>
      </c>
      <c r="C99" t="s">
        <v>206</v>
      </c>
      <c r="D99" t="s">
        <v>122</v>
      </c>
      <c r="E99">
        <v>3</v>
      </c>
      <c r="F99" t="s">
        <v>51</v>
      </c>
      <c r="G99">
        <v>25</v>
      </c>
      <c r="H99" t="s">
        <v>208</v>
      </c>
      <c r="I99" t="s">
        <v>30</v>
      </c>
      <c r="J99">
        <v>23</v>
      </c>
      <c r="K99" t="s">
        <v>155</v>
      </c>
      <c r="L99" t="s">
        <v>108</v>
      </c>
      <c r="M99" s="1">
        <v>44688</v>
      </c>
      <c r="N99" t="s">
        <v>44</v>
      </c>
      <c r="O99" t="s">
        <v>123</v>
      </c>
      <c r="P99" t="s">
        <v>68</v>
      </c>
      <c r="Q99" t="s">
        <v>46</v>
      </c>
      <c r="R99">
        <v>1480.33</v>
      </c>
      <c r="S99">
        <v>1709.3</v>
      </c>
      <c r="T99">
        <v>229</v>
      </c>
      <c r="U99">
        <v>6127.21</v>
      </c>
      <c r="V99">
        <v>1351.29</v>
      </c>
      <c r="W99">
        <v>4775.92</v>
      </c>
      <c r="X99">
        <v>3852.27</v>
      </c>
      <c r="Y99" t="s">
        <v>56</v>
      </c>
      <c r="Z99">
        <v>5127.8999999999996</v>
      </c>
      <c r="AA99">
        <v>686.91000000000008</v>
      </c>
    </row>
    <row r="100" spans="1:27" x14ac:dyDescent="0.3">
      <c r="A100" t="s">
        <v>387</v>
      </c>
      <c r="B100" s="1">
        <v>45177</v>
      </c>
      <c r="C100" t="s">
        <v>318</v>
      </c>
      <c r="D100" t="s">
        <v>142</v>
      </c>
      <c r="E100">
        <v>5</v>
      </c>
      <c r="F100" t="s">
        <v>90</v>
      </c>
      <c r="G100">
        <v>9</v>
      </c>
      <c r="H100" t="s">
        <v>319</v>
      </c>
      <c r="I100" t="s">
        <v>30</v>
      </c>
      <c r="J100">
        <v>41</v>
      </c>
      <c r="K100" t="s">
        <v>53</v>
      </c>
      <c r="L100" t="s">
        <v>81</v>
      </c>
      <c r="M100" s="1">
        <v>45379</v>
      </c>
      <c r="N100" t="s">
        <v>44</v>
      </c>
      <c r="O100" t="s">
        <v>144</v>
      </c>
      <c r="P100" t="s">
        <v>68</v>
      </c>
      <c r="Q100" t="s">
        <v>46</v>
      </c>
      <c r="R100">
        <v>236.18</v>
      </c>
      <c r="S100">
        <v>290.54000000000002</v>
      </c>
      <c r="T100">
        <v>127</v>
      </c>
      <c r="U100">
        <v>1218.03</v>
      </c>
      <c r="V100">
        <v>12.53</v>
      </c>
      <c r="W100">
        <v>1205.5</v>
      </c>
      <c r="X100">
        <v>4412.33</v>
      </c>
      <c r="Y100" t="s">
        <v>56</v>
      </c>
      <c r="Z100">
        <v>1452.7</v>
      </c>
      <c r="AA100">
        <v>271.80000000000007</v>
      </c>
    </row>
    <row r="101" spans="1:27" x14ac:dyDescent="0.3">
      <c r="A101" t="s">
        <v>388</v>
      </c>
      <c r="B101" s="1">
        <v>44968</v>
      </c>
      <c r="C101" t="s">
        <v>389</v>
      </c>
      <c r="D101" t="s">
        <v>50</v>
      </c>
      <c r="E101">
        <v>1</v>
      </c>
      <c r="F101" t="s">
        <v>90</v>
      </c>
      <c r="G101">
        <v>24</v>
      </c>
      <c r="H101" t="s">
        <v>390</v>
      </c>
      <c r="I101" t="s">
        <v>80</v>
      </c>
      <c r="J101">
        <v>39</v>
      </c>
      <c r="K101" t="s">
        <v>65</v>
      </c>
      <c r="L101" t="s">
        <v>108</v>
      </c>
      <c r="M101" s="1">
        <v>44717</v>
      </c>
      <c r="N101" t="s">
        <v>44</v>
      </c>
      <c r="O101" t="s">
        <v>55</v>
      </c>
      <c r="P101" t="s">
        <v>35</v>
      </c>
      <c r="Q101" t="s">
        <v>46</v>
      </c>
      <c r="R101">
        <v>3612.18</v>
      </c>
      <c r="S101">
        <v>3996.91</v>
      </c>
      <c r="T101">
        <v>92</v>
      </c>
      <c r="U101">
        <v>3438.3</v>
      </c>
      <c r="V101">
        <v>556.70000000000005</v>
      </c>
      <c r="W101">
        <v>2881.6</v>
      </c>
      <c r="X101">
        <v>834.62</v>
      </c>
      <c r="Y101" t="s">
        <v>56</v>
      </c>
      <c r="Z101">
        <v>3996.91</v>
      </c>
      <c r="AA101">
        <v>384.73</v>
      </c>
    </row>
    <row r="102" spans="1:27" x14ac:dyDescent="0.3">
      <c r="A102" t="s">
        <v>391</v>
      </c>
      <c r="B102" s="1">
        <v>45162</v>
      </c>
      <c r="C102" t="s">
        <v>392</v>
      </c>
      <c r="D102" t="s">
        <v>393</v>
      </c>
      <c r="E102">
        <v>5</v>
      </c>
      <c r="F102" t="s">
        <v>78</v>
      </c>
      <c r="G102">
        <v>21</v>
      </c>
      <c r="H102" t="s">
        <v>394</v>
      </c>
      <c r="I102" t="s">
        <v>80</v>
      </c>
      <c r="J102">
        <v>59</v>
      </c>
      <c r="K102" t="s">
        <v>73</v>
      </c>
      <c r="L102" t="s">
        <v>108</v>
      </c>
      <c r="M102" s="1">
        <v>45647</v>
      </c>
      <c r="N102" t="s">
        <v>54</v>
      </c>
      <c r="O102" t="s">
        <v>395</v>
      </c>
      <c r="P102" t="s">
        <v>35</v>
      </c>
      <c r="Q102" t="s">
        <v>111</v>
      </c>
      <c r="R102">
        <v>4793.34</v>
      </c>
      <c r="S102">
        <v>7058.65</v>
      </c>
      <c r="T102">
        <v>107</v>
      </c>
      <c r="U102">
        <v>8705.7800000000007</v>
      </c>
      <c r="V102">
        <v>1154.32</v>
      </c>
      <c r="W102">
        <v>7551.46</v>
      </c>
      <c r="X102">
        <v>3942.08</v>
      </c>
      <c r="Y102" t="s">
        <v>37</v>
      </c>
      <c r="Z102">
        <v>35293.25</v>
      </c>
      <c r="AA102">
        <v>11326.549999999997</v>
      </c>
    </row>
    <row r="103" spans="1:27" x14ac:dyDescent="0.3">
      <c r="A103" t="s">
        <v>396</v>
      </c>
      <c r="B103" s="1">
        <v>45082</v>
      </c>
      <c r="C103" t="s">
        <v>389</v>
      </c>
      <c r="D103" t="s">
        <v>226</v>
      </c>
      <c r="E103">
        <v>2</v>
      </c>
      <c r="F103" t="s">
        <v>78</v>
      </c>
      <c r="G103">
        <v>5</v>
      </c>
      <c r="H103" t="s">
        <v>390</v>
      </c>
      <c r="I103" t="s">
        <v>80</v>
      </c>
      <c r="J103">
        <v>39</v>
      </c>
      <c r="K103" t="s">
        <v>65</v>
      </c>
      <c r="L103" t="s">
        <v>108</v>
      </c>
      <c r="M103" s="1">
        <v>44717</v>
      </c>
      <c r="N103" t="s">
        <v>44</v>
      </c>
      <c r="O103" t="s">
        <v>227</v>
      </c>
      <c r="P103" t="s">
        <v>35</v>
      </c>
      <c r="Q103" t="s">
        <v>111</v>
      </c>
      <c r="R103">
        <v>762.02</v>
      </c>
      <c r="S103">
        <v>1161.9100000000001</v>
      </c>
      <c r="T103">
        <v>293</v>
      </c>
      <c r="U103">
        <v>9599.1299999999992</v>
      </c>
      <c r="V103">
        <v>1221.6600000000001</v>
      </c>
      <c r="W103">
        <v>8377.4699999999993</v>
      </c>
      <c r="X103">
        <v>1345.66</v>
      </c>
      <c r="Y103" t="s">
        <v>56</v>
      </c>
      <c r="Z103">
        <v>2323.8200000000002</v>
      </c>
      <c r="AA103">
        <v>799.7800000000002</v>
      </c>
    </row>
    <row r="104" spans="1:27" x14ac:dyDescent="0.3">
      <c r="A104" t="s">
        <v>397</v>
      </c>
      <c r="B104" s="1">
        <v>45118</v>
      </c>
      <c r="C104" t="s">
        <v>266</v>
      </c>
      <c r="D104" t="s">
        <v>226</v>
      </c>
      <c r="E104">
        <v>5</v>
      </c>
      <c r="F104" t="s">
        <v>90</v>
      </c>
      <c r="G104">
        <v>12</v>
      </c>
      <c r="H104" t="s">
        <v>267</v>
      </c>
      <c r="I104" t="s">
        <v>80</v>
      </c>
      <c r="J104">
        <v>37</v>
      </c>
      <c r="K104" t="s">
        <v>73</v>
      </c>
      <c r="L104" t="s">
        <v>108</v>
      </c>
      <c r="M104" s="1">
        <v>44909</v>
      </c>
      <c r="N104" t="s">
        <v>33</v>
      </c>
      <c r="O104" t="s">
        <v>227</v>
      </c>
      <c r="P104" t="s">
        <v>35</v>
      </c>
      <c r="Q104" t="s">
        <v>111</v>
      </c>
      <c r="R104">
        <v>762.02</v>
      </c>
      <c r="S104">
        <v>1161.9100000000001</v>
      </c>
      <c r="T104">
        <v>293</v>
      </c>
      <c r="U104">
        <v>1225.97</v>
      </c>
      <c r="V104">
        <v>37.049999999999997</v>
      </c>
      <c r="W104">
        <v>1188.92</v>
      </c>
      <c r="X104">
        <v>4856.63</v>
      </c>
      <c r="Y104" t="s">
        <v>37</v>
      </c>
      <c r="Z104">
        <v>5809.55</v>
      </c>
      <c r="AA104">
        <v>1999.4500000000005</v>
      </c>
    </row>
    <row r="105" spans="1:27" x14ac:dyDescent="0.3">
      <c r="A105" t="s">
        <v>398</v>
      </c>
      <c r="B105" s="1">
        <v>45194</v>
      </c>
      <c r="C105" t="s">
        <v>389</v>
      </c>
      <c r="D105" t="s">
        <v>399</v>
      </c>
      <c r="E105">
        <v>4</v>
      </c>
      <c r="F105" t="s">
        <v>78</v>
      </c>
      <c r="G105">
        <v>10</v>
      </c>
      <c r="H105" t="s">
        <v>390</v>
      </c>
      <c r="I105" t="s">
        <v>80</v>
      </c>
      <c r="J105">
        <v>39</v>
      </c>
      <c r="K105" t="s">
        <v>65</v>
      </c>
      <c r="L105" t="s">
        <v>108</v>
      </c>
      <c r="M105" s="1">
        <v>44717</v>
      </c>
      <c r="N105" t="s">
        <v>44</v>
      </c>
      <c r="O105" t="s">
        <v>400</v>
      </c>
      <c r="P105" t="s">
        <v>94</v>
      </c>
      <c r="Q105" t="s">
        <v>46</v>
      </c>
      <c r="R105">
        <v>828.79</v>
      </c>
      <c r="S105">
        <v>1227.1300000000001</v>
      </c>
      <c r="T105">
        <v>228</v>
      </c>
      <c r="U105">
        <v>16216.47</v>
      </c>
      <c r="V105">
        <v>1992.34</v>
      </c>
      <c r="W105">
        <v>14224.13</v>
      </c>
      <c r="X105">
        <v>2252.89</v>
      </c>
      <c r="Y105" t="s">
        <v>56</v>
      </c>
      <c r="Z105">
        <v>4908.5200000000004</v>
      </c>
      <c r="AA105">
        <v>1593.3600000000006</v>
      </c>
    </row>
    <row r="106" spans="1:27" x14ac:dyDescent="0.3">
      <c r="A106" t="s">
        <v>401</v>
      </c>
      <c r="B106" s="1">
        <v>45289</v>
      </c>
      <c r="C106" t="s">
        <v>389</v>
      </c>
      <c r="D106" t="s">
        <v>146</v>
      </c>
      <c r="E106">
        <v>2</v>
      </c>
      <c r="F106" t="s">
        <v>78</v>
      </c>
      <c r="G106">
        <v>9</v>
      </c>
      <c r="H106" t="s">
        <v>390</v>
      </c>
      <c r="I106" t="s">
        <v>80</v>
      </c>
      <c r="J106">
        <v>39</v>
      </c>
      <c r="K106" t="s">
        <v>65</v>
      </c>
      <c r="L106" t="s">
        <v>108</v>
      </c>
      <c r="M106" s="1">
        <v>44717</v>
      </c>
      <c r="N106" t="s">
        <v>44</v>
      </c>
      <c r="O106" t="s">
        <v>147</v>
      </c>
      <c r="P106" t="s">
        <v>94</v>
      </c>
      <c r="Q106" t="s">
        <v>111</v>
      </c>
      <c r="R106">
        <v>662.05</v>
      </c>
      <c r="S106">
        <v>1019.21</v>
      </c>
      <c r="T106">
        <v>49</v>
      </c>
      <c r="U106">
        <v>13109.52</v>
      </c>
      <c r="V106">
        <v>474.33</v>
      </c>
      <c r="W106">
        <v>12635.19</v>
      </c>
      <c r="X106">
        <v>2096.35</v>
      </c>
      <c r="Y106" t="s">
        <v>47</v>
      </c>
      <c r="Z106">
        <v>2038.42</v>
      </c>
      <c r="AA106">
        <v>714.32000000000016</v>
      </c>
    </row>
    <row r="107" spans="1:27" x14ac:dyDescent="0.3">
      <c r="A107" t="s">
        <v>402</v>
      </c>
      <c r="B107" s="1">
        <v>44944</v>
      </c>
      <c r="C107" t="s">
        <v>403</v>
      </c>
      <c r="D107" t="s">
        <v>183</v>
      </c>
      <c r="E107">
        <v>6</v>
      </c>
      <c r="F107" t="s">
        <v>28</v>
      </c>
      <c r="G107">
        <v>18</v>
      </c>
      <c r="H107" t="s">
        <v>404</v>
      </c>
      <c r="I107" t="s">
        <v>30</v>
      </c>
      <c r="J107">
        <v>33</v>
      </c>
      <c r="K107" t="s">
        <v>92</v>
      </c>
      <c r="L107" t="s">
        <v>108</v>
      </c>
      <c r="M107" s="1">
        <v>44991</v>
      </c>
      <c r="N107" t="s">
        <v>44</v>
      </c>
      <c r="O107" t="s">
        <v>185</v>
      </c>
      <c r="P107" t="s">
        <v>110</v>
      </c>
      <c r="Q107" t="s">
        <v>36</v>
      </c>
      <c r="R107">
        <v>1358.27</v>
      </c>
      <c r="S107">
        <v>1886.86</v>
      </c>
      <c r="T107">
        <v>153</v>
      </c>
      <c r="U107">
        <v>17275.150000000001</v>
      </c>
      <c r="V107">
        <v>1021.19</v>
      </c>
      <c r="W107">
        <v>16253.96</v>
      </c>
      <c r="X107">
        <v>4624.32</v>
      </c>
      <c r="Y107" t="s">
        <v>47</v>
      </c>
      <c r="Z107">
        <v>11321.16</v>
      </c>
      <c r="AA107">
        <v>3171.5399999999995</v>
      </c>
    </row>
    <row r="108" spans="1:27" x14ac:dyDescent="0.3">
      <c r="A108" t="s">
        <v>405</v>
      </c>
      <c r="B108" s="1">
        <v>45111</v>
      </c>
      <c r="C108" t="s">
        <v>214</v>
      </c>
      <c r="D108" t="s">
        <v>129</v>
      </c>
      <c r="E108">
        <v>3</v>
      </c>
      <c r="F108" t="s">
        <v>51</v>
      </c>
      <c r="G108">
        <v>11</v>
      </c>
      <c r="H108" t="s">
        <v>215</v>
      </c>
      <c r="I108" t="s">
        <v>80</v>
      </c>
      <c r="J108">
        <v>49</v>
      </c>
      <c r="K108" t="s">
        <v>42</v>
      </c>
      <c r="L108" t="s">
        <v>32</v>
      </c>
      <c r="M108" s="1">
        <v>44661</v>
      </c>
      <c r="N108" t="s">
        <v>33</v>
      </c>
      <c r="O108" t="s">
        <v>131</v>
      </c>
      <c r="P108" t="s">
        <v>68</v>
      </c>
      <c r="Q108" t="s">
        <v>111</v>
      </c>
      <c r="R108">
        <v>4948.75</v>
      </c>
      <c r="S108">
        <v>6628.41</v>
      </c>
      <c r="T108">
        <v>268</v>
      </c>
      <c r="U108">
        <v>11959.21</v>
      </c>
      <c r="V108">
        <v>1470.96</v>
      </c>
      <c r="W108">
        <v>10488.25</v>
      </c>
      <c r="X108">
        <v>2352.5500000000002</v>
      </c>
      <c r="Y108" t="s">
        <v>47</v>
      </c>
      <c r="Z108">
        <v>19885.23</v>
      </c>
      <c r="AA108">
        <v>5038.9799999999996</v>
      </c>
    </row>
    <row r="109" spans="1:27" x14ac:dyDescent="0.3">
      <c r="A109" t="s">
        <v>406</v>
      </c>
      <c r="B109" s="1">
        <v>45187</v>
      </c>
      <c r="C109" t="s">
        <v>407</v>
      </c>
      <c r="D109" t="s">
        <v>408</v>
      </c>
      <c r="E109">
        <v>3</v>
      </c>
      <c r="F109" t="s">
        <v>90</v>
      </c>
      <c r="G109">
        <v>10</v>
      </c>
      <c r="H109" t="s">
        <v>409</v>
      </c>
      <c r="I109" t="s">
        <v>80</v>
      </c>
      <c r="J109">
        <v>22</v>
      </c>
      <c r="K109" t="s">
        <v>31</v>
      </c>
      <c r="L109" t="s">
        <v>81</v>
      </c>
      <c r="M109" s="1">
        <v>44661</v>
      </c>
      <c r="N109" t="s">
        <v>44</v>
      </c>
      <c r="O109" t="s">
        <v>410</v>
      </c>
      <c r="P109" t="s">
        <v>68</v>
      </c>
      <c r="Q109" t="s">
        <v>46</v>
      </c>
      <c r="R109">
        <v>2025.88</v>
      </c>
      <c r="S109">
        <v>2513.29</v>
      </c>
      <c r="T109">
        <v>67</v>
      </c>
      <c r="U109">
        <v>11474.22</v>
      </c>
      <c r="V109">
        <v>2868.16</v>
      </c>
      <c r="W109">
        <v>8606.06</v>
      </c>
      <c r="X109">
        <v>2150.94</v>
      </c>
      <c r="Y109" t="s">
        <v>47</v>
      </c>
      <c r="Z109">
        <v>7539.87</v>
      </c>
      <c r="AA109">
        <v>1462.2299999999996</v>
      </c>
    </row>
    <row r="110" spans="1:27" x14ac:dyDescent="0.3">
      <c r="A110" t="s">
        <v>411</v>
      </c>
      <c r="B110" s="1">
        <v>45080</v>
      </c>
      <c r="C110" t="s">
        <v>412</v>
      </c>
      <c r="D110" t="s">
        <v>322</v>
      </c>
      <c r="E110">
        <v>4</v>
      </c>
      <c r="F110" t="s">
        <v>28</v>
      </c>
      <c r="G110">
        <v>21</v>
      </c>
      <c r="H110" t="s">
        <v>413</v>
      </c>
      <c r="I110" t="s">
        <v>30</v>
      </c>
      <c r="J110">
        <v>40</v>
      </c>
      <c r="K110" t="s">
        <v>31</v>
      </c>
      <c r="L110" t="s">
        <v>43</v>
      </c>
      <c r="M110" s="1">
        <v>45443</v>
      </c>
      <c r="N110" t="s">
        <v>44</v>
      </c>
      <c r="O110" t="s">
        <v>324</v>
      </c>
      <c r="P110" t="s">
        <v>35</v>
      </c>
      <c r="Q110" t="s">
        <v>111</v>
      </c>
      <c r="R110">
        <v>3696.72</v>
      </c>
      <c r="S110">
        <v>4397.13</v>
      </c>
      <c r="T110">
        <v>92</v>
      </c>
      <c r="U110">
        <v>9081.7000000000007</v>
      </c>
      <c r="V110">
        <v>773.48</v>
      </c>
      <c r="W110">
        <v>8308.2199999999993</v>
      </c>
      <c r="X110">
        <v>4645.7</v>
      </c>
      <c r="Y110" t="s">
        <v>56</v>
      </c>
      <c r="Z110">
        <v>17588.52</v>
      </c>
      <c r="AA110">
        <v>2801.6400000000012</v>
      </c>
    </row>
    <row r="111" spans="1:27" x14ac:dyDescent="0.3">
      <c r="A111" t="s">
        <v>414</v>
      </c>
      <c r="B111" s="1">
        <v>45091</v>
      </c>
      <c r="C111" t="s">
        <v>415</v>
      </c>
      <c r="D111" t="s">
        <v>287</v>
      </c>
      <c r="E111">
        <v>6</v>
      </c>
      <c r="F111" t="s">
        <v>78</v>
      </c>
      <c r="G111">
        <v>22</v>
      </c>
      <c r="H111" t="s">
        <v>416</v>
      </c>
      <c r="I111" t="s">
        <v>30</v>
      </c>
      <c r="J111">
        <v>54</v>
      </c>
      <c r="K111" t="s">
        <v>155</v>
      </c>
      <c r="L111" t="s">
        <v>66</v>
      </c>
      <c r="M111" s="1">
        <v>45337</v>
      </c>
      <c r="N111" t="s">
        <v>54</v>
      </c>
      <c r="O111" t="s">
        <v>288</v>
      </c>
      <c r="P111" t="s">
        <v>68</v>
      </c>
      <c r="Q111" t="s">
        <v>46</v>
      </c>
      <c r="R111">
        <v>2345.7800000000002</v>
      </c>
      <c r="S111">
        <v>2891.96</v>
      </c>
      <c r="T111">
        <v>122</v>
      </c>
      <c r="U111">
        <v>13753</v>
      </c>
      <c r="V111">
        <v>3238.52</v>
      </c>
      <c r="W111">
        <v>10514.48</v>
      </c>
      <c r="X111">
        <v>397.17</v>
      </c>
      <c r="Y111" t="s">
        <v>83</v>
      </c>
      <c r="Z111">
        <v>17351.760000000002</v>
      </c>
      <c r="AA111">
        <v>3277.079999999999</v>
      </c>
    </row>
    <row r="112" spans="1:27" x14ac:dyDescent="0.3">
      <c r="A112" t="s">
        <v>417</v>
      </c>
      <c r="B112" s="1">
        <v>45165</v>
      </c>
      <c r="C112" t="s">
        <v>412</v>
      </c>
      <c r="D112" t="s">
        <v>207</v>
      </c>
      <c r="E112">
        <v>2</v>
      </c>
      <c r="F112" t="s">
        <v>28</v>
      </c>
      <c r="G112">
        <v>22</v>
      </c>
      <c r="H112" t="s">
        <v>413</v>
      </c>
      <c r="I112" t="s">
        <v>30</v>
      </c>
      <c r="J112">
        <v>40</v>
      </c>
      <c r="K112" t="s">
        <v>31</v>
      </c>
      <c r="L112" t="s">
        <v>43</v>
      </c>
      <c r="M112" s="1">
        <v>45443</v>
      </c>
      <c r="N112" t="s">
        <v>44</v>
      </c>
      <c r="O112" t="s">
        <v>209</v>
      </c>
      <c r="P112" t="s">
        <v>35</v>
      </c>
      <c r="Q112" t="s">
        <v>46</v>
      </c>
      <c r="R112">
        <v>4764.59</v>
      </c>
      <c r="S112">
        <v>5703.68</v>
      </c>
      <c r="T112">
        <v>87</v>
      </c>
      <c r="U112">
        <v>12951.84</v>
      </c>
      <c r="V112">
        <v>2653.04</v>
      </c>
      <c r="W112">
        <v>10298.799999999999</v>
      </c>
      <c r="X112">
        <v>2873.77</v>
      </c>
      <c r="Y112" t="s">
        <v>83</v>
      </c>
      <c r="Z112">
        <v>11407.36</v>
      </c>
      <c r="AA112">
        <v>1878.1800000000003</v>
      </c>
    </row>
    <row r="113" spans="1:27" x14ac:dyDescent="0.3">
      <c r="A113" t="s">
        <v>418</v>
      </c>
      <c r="B113" s="1">
        <v>44960</v>
      </c>
      <c r="C113" t="s">
        <v>419</v>
      </c>
      <c r="D113" t="s">
        <v>420</v>
      </c>
      <c r="E113">
        <v>5</v>
      </c>
      <c r="F113" t="s">
        <v>78</v>
      </c>
      <c r="G113">
        <v>10</v>
      </c>
      <c r="H113" t="s">
        <v>421</v>
      </c>
      <c r="I113" t="s">
        <v>30</v>
      </c>
      <c r="J113">
        <v>23</v>
      </c>
      <c r="K113" t="s">
        <v>65</v>
      </c>
      <c r="L113" t="s">
        <v>43</v>
      </c>
      <c r="M113" s="1">
        <v>45113</v>
      </c>
      <c r="N113" t="s">
        <v>44</v>
      </c>
      <c r="O113" t="s">
        <v>422</v>
      </c>
      <c r="P113" t="s">
        <v>110</v>
      </c>
      <c r="Q113" t="s">
        <v>46</v>
      </c>
      <c r="R113">
        <v>2369.11</v>
      </c>
      <c r="S113">
        <v>2775.74</v>
      </c>
      <c r="T113">
        <v>21</v>
      </c>
      <c r="U113">
        <v>12736.35</v>
      </c>
      <c r="V113">
        <v>351.09</v>
      </c>
      <c r="W113">
        <v>12385.26</v>
      </c>
      <c r="X113">
        <v>881.66</v>
      </c>
      <c r="Y113" t="s">
        <v>47</v>
      </c>
      <c r="Z113">
        <v>13878.699999999999</v>
      </c>
      <c r="AA113">
        <v>2033.1499999999983</v>
      </c>
    </row>
    <row r="114" spans="1:27" x14ac:dyDescent="0.3">
      <c r="A114" t="s">
        <v>423</v>
      </c>
      <c r="B114" s="1">
        <v>45113</v>
      </c>
      <c r="C114" t="s">
        <v>424</v>
      </c>
      <c r="D114" t="s">
        <v>259</v>
      </c>
      <c r="E114">
        <v>4</v>
      </c>
      <c r="F114" t="s">
        <v>78</v>
      </c>
      <c r="G114">
        <v>15</v>
      </c>
      <c r="H114" t="s">
        <v>425</v>
      </c>
      <c r="I114" t="s">
        <v>30</v>
      </c>
      <c r="J114">
        <v>53</v>
      </c>
      <c r="K114" t="s">
        <v>92</v>
      </c>
      <c r="L114" t="s">
        <v>53</v>
      </c>
      <c r="M114" s="1">
        <v>44905</v>
      </c>
      <c r="N114" t="s">
        <v>33</v>
      </c>
      <c r="O114" t="s">
        <v>261</v>
      </c>
      <c r="P114" t="s">
        <v>94</v>
      </c>
      <c r="Q114" t="s">
        <v>111</v>
      </c>
      <c r="R114">
        <v>4426.51</v>
      </c>
      <c r="S114">
        <v>5123.7299999999996</v>
      </c>
      <c r="T114">
        <v>298</v>
      </c>
      <c r="U114">
        <v>7592.16</v>
      </c>
      <c r="V114">
        <v>1767.73</v>
      </c>
      <c r="W114">
        <v>5824.43</v>
      </c>
      <c r="X114">
        <v>1444.14</v>
      </c>
      <c r="Y114" t="s">
        <v>47</v>
      </c>
      <c r="Z114">
        <v>20494.919999999998</v>
      </c>
      <c r="AA114">
        <v>2788.8799999999974</v>
      </c>
    </row>
    <row r="115" spans="1:27" x14ac:dyDescent="0.3">
      <c r="A115" t="s">
        <v>426</v>
      </c>
      <c r="B115" s="1">
        <v>44985</v>
      </c>
      <c r="C115" t="s">
        <v>275</v>
      </c>
      <c r="D115" t="s">
        <v>207</v>
      </c>
      <c r="E115">
        <v>6</v>
      </c>
      <c r="F115" t="s">
        <v>78</v>
      </c>
      <c r="G115">
        <v>24</v>
      </c>
      <c r="H115" t="s">
        <v>277</v>
      </c>
      <c r="I115" t="s">
        <v>30</v>
      </c>
      <c r="J115">
        <v>27</v>
      </c>
      <c r="K115" t="s">
        <v>42</v>
      </c>
      <c r="L115" t="s">
        <v>53</v>
      </c>
      <c r="M115" s="1">
        <v>45434</v>
      </c>
      <c r="N115" t="s">
        <v>54</v>
      </c>
      <c r="O115" t="s">
        <v>209</v>
      </c>
      <c r="P115" t="s">
        <v>35</v>
      </c>
      <c r="Q115" t="s">
        <v>46</v>
      </c>
      <c r="R115">
        <v>4764.59</v>
      </c>
      <c r="S115">
        <v>5703.68</v>
      </c>
      <c r="T115">
        <v>87</v>
      </c>
      <c r="U115">
        <v>2523.21</v>
      </c>
      <c r="V115">
        <v>488.69</v>
      </c>
      <c r="W115">
        <v>2034.52</v>
      </c>
      <c r="X115">
        <v>1246.57</v>
      </c>
      <c r="Y115" t="s">
        <v>83</v>
      </c>
      <c r="Z115">
        <v>34222.080000000002</v>
      </c>
      <c r="AA115">
        <v>5634.5400000000009</v>
      </c>
    </row>
    <row r="116" spans="1:27" x14ac:dyDescent="0.3">
      <c r="A116" t="s">
        <v>427</v>
      </c>
      <c r="B116" s="1">
        <v>45162</v>
      </c>
      <c r="C116" t="s">
        <v>306</v>
      </c>
      <c r="D116" t="s">
        <v>428</v>
      </c>
      <c r="E116">
        <v>5</v>
      </c>
      <c r="F116" t="s">
        <v>51</v>
      </c>
      <c r="G116">
        <v>14</v>
      </c>
      <c r="H116" t="s">
        <v>307</v>
      </c>
      <c r="I116" t="s">
        <v>30</v>
      </c>
      <c r="J116">
        <v>23</v>
      </c>
      <c r="K116" t="s">
        <v>42</v>
      </c>
      <c r="L116" t="s">
        <v>32</v>
      </c>
      <c r="M116" s="1">
        <v>45214</v>
      </c>
      <c r="N116" t="s">
        <v>54</v>
      </c>
      <c r="O116" t="s">
        <v>429</v>
      </c>
      <c r="P116" t="s">
        <v>110</v>
      </c>
      <c r="Q116" t="s">
        <v>46</v>
      </c>
      <c r="R116">
        <v>929.24</v>
      </c>
      <c r="S116">
        <v>1350.29</v>
      </c>
      <c r="T116">
        <v>22</v>
      </c>
      <c r="U116">
        <v>17585.23</v>
      </c>
      <c r="V116">
        <v>104.7</v>
      </c>
      <c r="W116">
        <v>17480.53</v>
      </c>
      <c r="X116">
        <v>318.58999999999997</v>
      </c>
      <c r="Y116" t="s">
        <v>47</v>
      </c>
      <c r="Z116">
        <v>6751.45</v>
      </c>
      <c r="AA116">
        <v>2105.25</v>
      </c>
    </row>
    <row r="117" spans="1:27" x14ac:dyDescent="0.3">
      <c r="A117" t="s">
        <v>430</v>
      </c>
      <c r="B117" s="1">
        <v>44999</v>
      </c>
      <c r="C117" t="s">
        <v>431</v>
      </c>
      <c r="D117" t="s">
        <v>153</v>
      </c>
      <c r="E117">
        <v>4</v>
      </c>
      <c r="F117" t="s">
        <v>90</v>
      </c>
      <c r="G117">
        <v>2</v>
      </c>
      <c r="H117" t="s">
        <v>432</v>
      </c>
      <c r="I117" t="s">
        <v>80</v>
      </c>
      <c r="J117">
        <v>34</v>
      </c>
      <c r="K117" t="s">
        <v>73</v>
      </c>
      <c r="L117" t="s">
        <v>32</v>
      </c>
      <c r="M117" s="1">
        <v>45084</v>
      </c>
      <c r="N117" t="s">
        <v>33</v>
      </c>
      <c r="O117" t="s">
        <v>156</v>
      </c>
      <c r="P117" t="s">
        <v>35</v>
      </c>
      <c r="Q117" t="s">
        <v>36</v>
      </c>
      <c r="R117">
        <v>2340.46</v>
      </c>
      <c r="S117">
        <v>2600.46</v>
      </c>
      <c r="T117">
        <v>245</v>
      </c>
      <c r="U117">
        <v>11123.17</v>
      </c>
      <c r="V117">
        <v>424.1</v>
      </c>
      <c r="W117">
        <v>10699.07</v>
      </c>
      <c r="X117">
        <v>380.83</v>
      </c>
      <c r="Y117" t="s">
        <v>83</v>
      </c>
      <c r="Z117">
        <v>10401.84</v>
      </c>
      <c r="AA117">
        <v>1040</v>
      </c>
    </row>
    <row r="118" spans="1:27" x14ac:dyDescent="0.3">
      <c r="A118" t="s">
        <v>433</v>
      </c>
      <c r="B118" s="1">
        <v>45252</v>
      </c>
      <c r="C118" t="s">
        <v>434</v>
      </c>
      <c r="D118" t="s">
        <v>349</v>
      </c>
      <c r="E118">
        <v>1</v>
      </c>
      <c r="F118" t="s">
        <v>28</v>
      </c>
      <c r="G118">
        <v>4</v>
      </c>
      <c r="H118" t="s">
        <v>435</v>
      </c>
      <c r="I118" t="s">
        <v>80</v>
      </c>
      <c r="J118">
        <v>59</v>
      </c>
      <c r="K118" t="s">
        <v>53</v>
      </c>
      <c r="L118" t="s">
        <v>43</v>
      </c>
      <c r="M118" s="1">
        <v>45296</v>
      </c>
      <c r="N118" t="s">
        <v>44</v>
      </c>
      <c r="O118" t="s">
        <v>350</v>
      </c>
      <c r="P118" t="s">
        <v>35</v>
      </c>
      <c r="Q118" t="s">
        <v>120</v>
      </c>
      <c r="R118">
        <v>2100.67</v>
      </c>
      <c r="S118">
        <v>3046.71</v>
      </c>
      <c r="T118">
        <v>206</v>
      </c>
      <c r="U118">
        <v>9997.44</v>
      </c>
      <c r="V118">
        <v>2307.86</v>
      </c>
      <c r="W118">
        <v>7689.58</v>
      </c>
      <c r="X118">
        <v>3703.98</v>
      </c>
      <c r="Y118" t="s">
        <v>83</v>
      </c>
      <c r="Z118">
        <v>3046.71</v>
      </c>
      <c r="AA118">
        <v>946.04</v>
      </c>
    </row>
    <row r="119" spans="1:27" x14ac:dyDescent="0.3">
      <c r="A119" t="s">
        <v>436</v>
      </c>
      <c r="B119" s="1">
        <v>44938</v>
      </c>
      <c r="C119" t="s">
        <v>252</v>
      </c>
      <c r="D119" t="s">
        <v>290</v>
      </c>
      <c r="E119">
        <v>2</v>
      </c>
      <c r="F119" t="s">
        <v>51</v>
      </c>
      <c r="G119">
        <v>23</v>
      </c>
      <c r="H119" t="s">
        <v>253</v>
      </c>
      <c r="I119" t="s">
        <v>30</v>
      </c>
      <c r="J119">
        <v>29</v>
      </c>
      <c r="K119" t="s">
        <v>31</v>
      </c>
      <c r="L119" t="s">
        <v>32</v>
      </c>
      <c r="M119" s="1">
        <v>45154</v>
      </c>
      <c r="N119" t="s">
        <v>33</v>
      </c>
      <c r="O119" t="s">
        <v>291</v>
      </c>
      <c r="P119" t="s">
        <v>68</v>
      </c>
      <c r="Q119" t="s">
        <v>111</v>
      </c>
      <c r="R119">
        <v>2649.82</v>
      </c>
      <c r="S119">
        <v>3522.16</v>
      </c>
      <c r="T119">
        <v>205</v>
      </c>
      <c r="U119">
        <v>768.67</v>
      </c>
      <c r="V119">
        <v>60.07</v>
      </c>
      <c r="W119">
        <v>708.6</v>
      </c>
      <c r="X119">
        <v>2952.12</v>
      </c>
      <c r="Y119" t="s">
        <v>47</v>
      </c>
      <c r="Z119">
        <v>7044.32</v>
      </c>
      <c r="AA119">
        <v>1744.6799999999994</v>
      </c>
    </row>
    <row r="120" spans="1:27" x14ac:dyDescent="0.3">
      <c r="A120" t="s">
        <v>437</v>
      </c>
      <c r="B120" s="1">
        <v>45173</v>
      </c>
      <c r="C120" t="s">
        <v>438</v>
      </c>
      <c r="D120" t="s">
        <v>219</v>
      </c>
      <c r="E120">
        <v>4</v>
      </c>
      <c r="F120" t="s">
        <v>51</v>
      </c>
      <c r="G120">
        <v>9</v>
      </c>
      <c r="H120" t="s">
        <v>439</v>
      </c>
      <c r="I120" t="s">
        <v>30</v>
      </c>
      <c r="J120">
        <v>57</v>
      </c>
      <c r="K120" t="s">
        <v>53</v>
      </c>
      <c r="L120" t="s">
        <v>43</v>
      </c>
      <c r="M120" s="1">
        <v>45545</v>
      </c>
      <c r="N120" t="s">
        <v>33</v>
      </c>
      <c r="O120" t="s">
        <v>221</v>
      </c>
      <c r="P120" t="s">
        <v>110</v>
      </c>
      <c r="Q120" t="s">
        <v>46</v>
      </c>
      <c r="R120">
        <v>2704.31</v>
      </c>
      <c r="S120">
        <v>4105</v>
      </c>
      <c r="T120">
        <v>48</v>
      </c>
      <c r="U120">
        <v>14385.15</v>
      </c>
      <c r="V120">
        <v>1784.29</v>
      </c>
      <c r="W120">
        <v>12600.86</v>
      </c>
      <c r="X120">
        <v>1896.91</v>
      </c>
      <c r="Y120" t="s">
        <v>56</v>
      </c>
      <c r="Z120">
        <v>16420</v>
      </c>
      <c r="AA120">
        <v>5602.76</v>
      </c>
    </row>
    <row r="121" spans="1:27" x14ac:dyDescent="0.3">
      <c r="A121" t="s">
        <v>440</v>
      </c>
      <c r="B121" s="1">
        <v>44929</v>
      </c>
      <c r="C121" t="s">
        <v>441</v>
      </c>
      <c r="D121" t="s">
        <v>259</v>
      </c>
      <c r="E121">
        <v>4</v>
      </c>
      <c r="F121" t="s">
        <v>28</v>
      </c>
      <c r="G121">
        <v>15</v>
      </c>
      <c r="H121" t="s">
        <v>442</v>
      </c>
      <c r="I121" t="s">
        <v>30</v>
      </c>
      <c r="J121">
        <v>43</v>
      </c>
      <c r="K121" t="s">
        <v>73</v>
      </c>
      <c r="L121" t="s">
        <v>32</v>
      </c>
      <c r="M121" s="1">
        <v>44709</v>
      </c>
      <c r="N121" t="s">
        <v>44</v>
      </c>
      <c r="O121" t="s">
        <v>261</v>
      </c>
      <c r="P121" t="s">
        <v>94</v>
      </c>
      <c r="Q121" t="s">
        <v>111</v>
      </c>
      <c r="R121">
        <v>4426.51</v>
      </c>
      <c r="S121">
        <v>5123.7299999999996</v>
      </c>
      <c r="T121">
        <v>298</v>
      </c>
      <c r="U121">
        <v>12378.88</v>
      </c>
      <c r="V121">
        <v>2478.54</v>
      </c>
      <c r="W121">
        <v>9900.34</v>
      </c>
      <c r="X121">
        <v>1612.86</v>
      </c>
      <c r="Y121" t="s">
        <v>83</v>
      </c>
      <c r="Z121">
        <v>20494.919999999998</v>
      </c>
      <c r="AA121">
        <v>2788.8799999999974</v>
      </c>
    </row>
    <row r="122" spans="1:27" x14ac:dyDescent="0.3">
      <c r="A122" t="s">
        <v>443</v>
      </c>
      <c r="B122" s="1">
        <v>45122</v>
      </c>
      <c r="C122" t="s">
        <v>444</v>
      </c>
      <c r="D122" t="s">
        <v>146</v>
      </c>
      <c r="E122">
        <v>1</v>
      </c>
      <c r="F122" t="s">
        <v>28</v>
      </c>
      <c r="G122">
        <v>23</v>
      </c>
      <c r="H122" t="s">
        <v>445</v>
      </c>
      <c r="I122" t="s">
        <v>80</v>
      </c>
      <c r="J122">
        <v>37</v>
      </c>
      <c r="K122" t="s">
        <v>42</v>
      </c>
      <c r="L122" t="s">
        <v>66</v>
      </c>
      <c r="M122" s="1">
        <v>44919</v>
      </c>
      <c r="N122" t="s">
        <v>54</v>
      </c>
      <c r="O122" t="s">
        <v>147</v>
      </c>
      <c r="P122" t="s">
        <v>94</v>
      </c>
      <c r="Q122" t="s">
        <v>111</v>
      </c>
      <c r="R122">
        <v>662.05</v>
      </c>
      <c r="S122">
        <v>1019.21</v>
      </c>
      <c r="T122">
        <v>49</v>
      </c>
      <c r="U122">
        <v>2555.0100000000002</v>
      </c>
      <c r="V122">
        <v>513.89</v>
      </c>
      <c r="W122">
        <v>2041.12</v>
      </c>
      <c r="X122">
        <v>3482.05</v>
      </c>
      <c r="Y122" t="s">
        <v>56</v>
      </c>
      <c r="Z122">
        <v>1019.21</v>
      </c>
      <c r="AA122">
        <v>357.16000000000008</v>
      </c>
    </row>
    <row r="123" spans="1:27" x14ac:dyDescent="0.3">
      <c r="A123" t="s">
        <v>446</v>
      </c>
      <c r="B123" s="1">
        <v>45121</v>
      </c>
      <c r="C123" t="s">
        <v>266</v>
      </c>
      <c r="D123" t="s">
        <v>269</v>
      </c>
      <c r="E123">
        <v>6</v>
      </c>
      <c r="F123" t="s">
        <v>90</v>
      </c>
      <c r="G123">
        <v>19</v>
      </c>
      <c r="H123" t="s">
        <v>267</v>
      </c>
      <c r="I123" t="s">
        <v>80</v>
      </c>
      <c r="J123">
        <v>37</v>
      </c>
      <c r="K123" t="s">
        <v>73</v>
      </c>
      <c r="L123" t="s">
        <v>108</v>
      </c>
      <c r="M123" s="1">
        <v>44909</v>
      </c>
      <c r="N123" t="s">
        <v>33</v>
      </c>
      <c r="O123" t="s">
        <v>270</v>
      </c>
      <c r="P123" t="s">
        <v>35</v>
      </c>
      <c r="Q123" t="s">
        <v>120</v>
      </c>
      <c r="R123">
        <v>4675.05</v>
      </c>
      <c r="S123">
        <v>5769.35</v>
      </c>
      <c r="T123">
        <v>260</v>
      </c>
      <c r="U123">
        <v>13901.91</v>
      </c>
      <c r="V123">
        <v>906.82</v>
      </c>
      <c r="W123">
        <v>12995.09</v>
      </c>
      <c r="X123">
        <v>1247.57</v>
      </c>
      <c r="Y123" t="s">
        <v>56</v>
      </c>
      <c r="Z123">
        <v>34616.100000000006</v>
      </c>
      <c r="AA123">
        <v>6565.8000000000011</v>
      </c>
    </row>
    <row r="124" spans="1:27" x14ac:dyDescent="0.3">
      <c r="A124" t="s">
        <v>447</v>
      </c>
      <c r="B124" s="1">
        <v>45233</v>
      </c>
      <c r="C124" t="s">
        <v>441</v>
      </c>
      <c r="D124" t="s">
        <v>448</v>
      </c>
      <c r="E124">
        <v>4</v>
      </c>
      <c r="F124" t="s">
        <v>90</v>
      </c>
      <c r="G124">
        <v>12</v>
      </c>
      <c r="H124" t="s">
        <v>442</v>
      </c>
      <c r="I124" t="s">
        <v>30</v>
      </c>
      <c r="J124">
        <v>43</v>
      </c>
      <c r="K124" t="s">
        <v>73</v>
      </c>
      <c r="L124" t="s">
        <v>32</v>
      </c>
      <c r="M124" s="1">
        <v>44709</v>
      </c>
      <c r="N124" t="s">
        <v>44</v>
      </c>
      <c r="O124" t="s">
        <v>449</v>
      </c>
      <c r="P124" t="s">
        <v>110</v>
      </c>
      <c r="Q124" t="s">
        <v>120</v>
      </c>
      <c r="R124">
        <v>4836.3999999999996</v>
      </c>
      <c r="S124">
        <v>7004.05</v>
      </c>
      <c r="T124">
        <v>98</v>
      </c>
      <c r="U124">
        <v>7105.96</v>
      </c>
      <c r="V124">
        <v>1706.26</v>
      </c>
      <c r="W124">
        <v>5399.7</v>
      </c>
      <c r="X124">
        <v>257.17</v>
      </c>
      <c r="Y124" t="s">
        <v>37</v>
      </c>
      <c r="Z124">
        <v>28016.2</v>
      </c>
      <c r="AA124">
        <v>8670.6000000000022</v>
      </c>
    </row>
    <row r="125" spans="1:27" x14ac:dyDescent="0.3">
      <c r="A125" t="s">
        <v>450</v>
      </c>
      <c r="B125" s="1">
        <v>45047</v>
      </c>
      <c r="C125" t="s">
        <v>266</v>
      </c>
      <c r="D125" t="s">
        <v>315</v>
      </c>
      <c r="E125">
        <v>4</v>
      </c>
      <c r="F125" t="s">
        <v>51</v>
      </c>
      <c r="G125">
        <v>12</v>
      </c>
      <c r="H125" t="s">
        <v>267</v>
      </c>
      <c r="I125" t="s">
        <v>80</v>
      </c>
      <c r="J125">
        <v>37</v>
      </c>
      <c r="K125" t="s">
        <v>73</v>
      </c>
      <c r="L125" t="s">
        <v>108</v>
      </c>
      <c r="M125" s="1">
        <v>44909</v>
      </c>
      <c r="N125" t="s">
        <v>33</v>
      </c>
      <c r="O125" t="s">
        <v>316</v>
      </c>
      <c r="P125" t="s">
        <v>110</v>
      </c>
      <c r="Q125" t="s">
        <v>120</v>
      </c>
      <c r="R125">
        <v>2359.8000000000002</v>
      </c>
      <c r="S125">
        <v>2910.71</v>
      </c>
      <c r="T125">
        <v>211</v>
      </c>
      <c r="U125">
        <v>7062.7</v>
      </c>
      <c r="V125">
        <v>1554.52</v>
      </c>
      <c r="W125">
        <v>5508.18</v>
      </c>
      <c r="X125">
        <v>319.67</v>
      </c>
      <c r="Y125" t="s">
        <v>47</v>
      </c>
      <c r="Z125">
        <v>11642.84</v>
      </c>
      <c r="AA125">
        <v>2203.6399999999994</v>
      </c>
    </row>
    <row r="126" spans="1:27" x14ac:dyDescent="0.3">
      <c r="A126" t="s">
        <v>451</v>
      </c>
      <c r="B126" s="1">
        <v>45166</v>
      </c>
      <c r="C126" t="s">
        <v>452</v>
      </c>
      <c r="D126" t="s">
        <v>202</v>
      </c>
      <c r="E126">
        <v>2</v>
      </c>
      <c r="F126" t="s">
        <v>51</v>
      </c>
      <c r="G126">
        <v>22</v>
      </c>
      <c r="H126" t="s">
        <v>453</v>
      </c>
      <c r="I126" t="s">
        <v>30</v>
      </c>
      <c r="J126">
        <v>37</v>
      </c>
      <c r="K126" t="s">
        <v>92</v>
      </c>
      <c r="L126" t="s">
        <v>32</v>
      </c>
      <c r="M126" s="1">
        <v>45655</v>
      </c>
      <c r="N126" t="s">
        <v>54</v>
      </c>
      <c r="O126" t="s">
        <v>204</v>
      </c>
      <c r="P126" t="s">
        <v>110</v>
      </c>
      <c r="Q126" t="s">
        <v>111</v>
      </c>
      <c r="R126">
        <v>830.87</v>
      </c>
      <c r="S126">
        <v>1283.0999999999999</v>
      </c>
      <c r="T126">
        <v>46</v>
      </c>
      <c r="U126">
        <v>13754.38</v>
      </c>
      <c r="V126">
        <v>2104.48</v>
      </c>
      <c r="W126">
        <v>11649.9</v>
      </c>
      <c r="X126">
        <v>2889.4</v>
      </c>
      <c r="Y126" t="s">
        <v>83</v>
      </c>
      <c r="Z126">
        <v>2566.1999999999998</v>
      </c>
      <c r="AA126">
        <v>904.45999999999981</v>
      </c>
    </row>
    <row r="127" spans="1:27" x14ac:dyDescent="0.3">
      <c r="A127" t="s">
        <v>454</v>
      </c>
      <c r="B127" s="1">
        <v>45010</v>
      </c>
      <c r="C127" t="s">
        <v>266</v>
      </c>
      <c r="D127" t="s">
        <v>428</v>
      </c>
      <c r="E127">
        <v>4</v>
      </c>
      <c r="F127" t="s">
        <v>90</v>
      </c>
      <c r="G127">
        <v>8</v>
      </c>
      <c r="H127" t="s">
        <v>267</v>
      </c>
      <c r="I127" t="s">
        <v>80</v>
      </c>
      <c r="J127">
        <v>37</v>
      </c>
      <c r="K127" t="s">
        <v>73</v>
      </c>
      <c r="L127" t="s">
        <v>108</v>
      </c>
      <c r="M127" s="1">
        <v>44909</v>
      </c>
      <c r="N127" t="s">
        <v>33</v>
      </c>
      <c r="O127" t="s">
        <v>429</v>
      </c>
      <c r="P127" t="s">
        <v>110</v>
      </c>
      <c r="Q127" t="s">
        <v>46</v>
      </c>
      <c r="R127">
        <v>929.24</v>
      </c>
      <c r="S127">
        <v>1350.29</v>
      </c>
      <c r="T127">
        <v>22</v>
      </c>
      <c r="U127">
        <v>15528.05</v>
      </c>
      <c r="V127">
        <v>438.49</v>
      </c>
      <c r="W127">
        <v>15089.56</v>
      </c>
      <c r="X127">
        <v>3088.54</v>
      </c>
      <c r="Y127" t="s">
        <v>83</v>
      </c>
      <c r="Z127">
        <v>5401.16</v>
      </c>
      <c r="AA127">
        <v>1684.1999999999998</v>
      </c>
    </row>
    <row r="128" spans="1:27" x14ac:dyDescent="0.3">
      <c r="A128" t="s">
        <v>455</v>
      </c>
      <c r="B128" s="1">
        <v>45282</v>
      </c>
      <c r="C128" t="s">
        <v>456</v>
      </c>
      <c r="D128" t="s">
        <v>236</v>
      </c>
      <c r="E128">
        <v>1</v>
      </c>
      <c r="F128" t="s">
        <v>28</v>
      </c>
      <c r="G128">
        <v>17</v>
      </c>
      <c r="H128" t="s">
        <v>457</v>
      </c>
      <c r="I128" t="s">
        <v>30</v>
      </c>
      <c r="J128">
        <v>30</v>
      </c>
      <c r="K128" t="s">
        <v>31</v>
      </c>
      <c r="L128" t="s">
        <v>108</v>
      </c>
      <c r="M128" s="1">
        <v>45281</v>
      </c>
      <c r="N128" t="s">
        <v>54</v>
      </c>
      <c r="O128" t="s">
        <v>238</v>
      </c>
      <c r="P128" t="s">
        <v>68</v>
      </c>
      <c r="Q128" t="s">
        <v>120</v>
      </c>
      <c r="R128">
        <v>3957.37</v>
      </c>
      <c r="S128">
        <v>5045.3500000000004</v>
      </c>
      <c r="T128">
        <v>227</v>
      </c>
      <c r="U128">
        <v>7060.35</v>
      </c>
      <c r="V128">
        <v>1154.9100000000001</v>
      </c>
      <c r="W128">
        <v>5905.44</v>
      </c>
      <c r="X128">
        <v>1238.3</v>
      </c>
      <c r="Y128" t="s">
        <v>47</v>
      </c>
      <c r="Z128">
        <v>5045.3500000000004</v>
      </c>
      <c r="AA128">
        <v>1087.9800000000005</v>
      </c>
    </row>
    <row r="129" spans="1:27" x14ac:dyDescent="0.3">
      <c r="A129" t="s">
        <v>458</v>
      </c>
      <c r="B129" s="1">
        <v>44960</v>
      </c>
      <c r="C129" t="s">
        <v>459</v>
      </c>
      <c r="D129" t="s">
        <v>190</v>
      </c>
      <c r="E129">
        <v>3</v>
      </c>
      <c r="F129" t="s">
        <v>51</v>
      </c>
      <c r="G129">
        <v>2</v>
      </c>
      <c r="H129" t="s">
        <v>460</v>
      </c>
      <c r="I129" t="s">
        <v>80</v>
      </c>
      <c r="J129">
        <v>47</v>
      </c>
      <c r="K129" t="s">
        <v>92</v>
      </c>
      <c r="L129" t="s">
        <v>32</v>
      </c>
      <c r="M129" s="1">
        <v>44764</v>
      </c>
      <c r="N129" t="s">
        <v>44</v>
      </c>
      <c r="O129" t="s">
        <v>191</v>
      </c>
      <c r="P129" t="s">
        <v>68</v>
      </c>
      <c r="Q129" t="s">
        <v>120</v>
      </c>
      <c r="R129">
        <v>2412.25</v>
      </c>
      <c r="S129">
        <v>3672.51</v>
      </c>
      <c r="T129">
        <v>100</v>
      </c>
      <c r="U129">
        <v>1306</v>
      </c>
      <c r="V129">
        <v>127.1</v>
      </c>
      <c r="W129">
        <v>1178.9000000000001</v>
      </c>
      <c r="X129">
        <v>301.77999999999997</v>
      </c>
      <c r="Y129" t="s">
        <v>56</v>
      </c>
      <c r="Z129">
        <v>11017.53</v>
      </c>
      <c r="AA129">
        <v>3780.7800000000007</v>
      </c>
    </row>
    <row r="130" spans="1:27" x14ac:dyDescent="0.3">
      <c r="A130" t="s">
        <v>461</v>
      </c>
      <c r="B130" s="1">
        <v>45259</v>
      </c>
      <c r="C130" t="s">
        <v>318</v>
      </c>
      <c r="D130" t="s">
        <v>302</v>
      </c>
      <c r="E130">
        <v>1</v>
      </c>
      <c r="F130" t="s">
        <v>90</v>
      </c>
      <c r="G130">
        <v>0</v>
      </c>
      <c r="H130" t="s">
        <v>319</v>
      </c>
      <c r="I130" t="s">
        <v>30</v>
      </c>
      <c r="J130">
        <v>41</v>
      </c>
      <c r="K130" t="s">
        <v>53</v>
      </c>
      <c r="L130" t="s">
        <v>81</v>
      </c>
      <c r="M130" s="1">
        <v>45379</v>
      </c>
      <c r="N130" t="s">
        <v>44</v>
      </c>
      <c r="O130" t="s">
        <v>304</v>
      </c>
      <c r="P130" t="s">
        <v>68</v>
      </c>
      <c r="Q130" t="s">
        <v>120</v>
      </c>
      <c r="R130">
        <v>1858.72</v>
      </c>
      <c r="S130">
        <v>2175.88</v>
      </c>
      <c r="T130">
        <v>272</v>
      </c>
      <c r="U130">
        <v>4945.3599999999997</v>
      </c>
      <c r="V130">
        <v>827.37</v>
      </c>
      <c r="W130">
        <v>4117.99</v>
      </c>
      <c r="X130">
        <v>4670.38</v>
      </c>
      <c r="Y130" t="s">
        <v>56</v>
      </c>
      <c r="Z130">
        <v>2175.88</v>
      </c>
      <c r="AA130">
        <v>317.16000000000008</v>
      </c>
    </row>
    <row r="131" spans="1:27" x14ac:dyDescent="0.3">
      <c r="A131" t="s">
        <v>462</v>
      </c>
      <c r="B131" s="1">
        <v>44941</v>
      </c>
      <c r="C131" t="s">
        <v>463</v>
      </c>
      <c r="D131" t="s">
        <v>408</v>
      </c>
      <c r="E131">
        <v>5</v>
      </c>
      <c r="F131" t="s">
        <v>28</v>
      </c>
      <c r="G131">
        <v>25</v>
      </c>
      <c r="H131" t="s">
        <v>464</v>
      </c>
      <c r="I131" t="s">
        <v>30</v>
      </c>
      <c r="J131">
        <v>25</v>
      </c>
      <c r="K131" t="s">
        <v>42</v>
      </c>
      <c r="L131" t="s">
        <v>32</v>
      </c>
      <c r="M131" s="1">
        <v>45251</v>
      </c>
      <c r="N131" t="s">
        <v>44</v>
      </c>
      <c r="O131" t="s">
        <v>410</v>
      </c>
      <c r="P131" t="s">
        <v>68</v>
      </c>
      <c r="Q131" t="s">
        <v>46</v>
      </c>
      <c r="R131">
        <v>2025.88</v>
      </c>
      <c r="S131">
        <v>2513.29</v>
      </c>
      <c r="T131">
        <v>67</v>
      </c>
      <c r="U131">
        <v>7545.94</v>
      </c>
      <c r="V131">
        <v>132.44999999999999</v>
      </c>
      <c r="W131">
        <v>7413.49</v>
      </c>
      <c r="X131">
        <v>1815.65</v>
      </c>
      <c r="Y131" t="s">
        <v>83</v>
      </c>
      <c r="Z131">
        <v>12566.45</v>
      </c>
      <c r="AA131">
        <v>2437.0499999999993</v>
      </c>
    </row>
    <row r="132" spans="1:27" x14ac:dyDescent="0.3">
      <c r="A132" t="s">
        <v>465</v>
      </c>
      <c r="B132" s="1">
        <v>45056</v>
      </c>
      <c r="C132" t="s">
        <v>275</v>
      </c>
      <c r="D132" t="s">
        <v>375</v>
      </c>
      <c r="E132">
        <v>4</v>
      </c>
      <c r="F132" t="s">
        <v>51</v>
      </c>
      <c r="G132">
        <v>17</v>
      </c>
      <c r="H132" t="s">
        <v>277</v>
      </c>
      <c r="I132" t="s">
        <v>30</v>
      </c>
      <c r="J132">
        <v>27</v>
      </c>
      <c r="K132" t="s">
        <v>42</v>
      </c>
      <c r="L132" t="s">
        <v>53</v>
      </c>
      <c r="M132" s="1">
        <v>45434</v>
      </c>
      <c r="N132" t="s">
        <v>54</v>
      </c>
      <c r="O132" t="s">
        <v>377</v>
      </c>
      <c r="P132" t="s">
        <v>94</v>
      </c>
      <c r="Q132" t="s">
        <v>36</v>
      </c>
      <c r="R132">
        <v>2849.7</v>
      </c>
      <c r="S132">
        <v>3862</v>
      </c>
      <c r="T132">
        <v>78</v>
      </c>
      <c r="U132">
        <v>12339.21</v>
      </c>
      <c r="V132">
        <v>1041.58</v>
      </c>
      <c r="W132">
        <v>11297.63</v>
      </c>
      <c r="X132">
        <v>401.7</v>
      </c>
      <c r="Y132" t="s">
        <v>47</v>
      </c>
      <c r="Z132">
        <v>15448</v>
      </c>
      <c r="AA132">
        <v>4049.2000000000007</v>
      </c>
    </row>
    <row r="133" spans="1:27" x14ac:dyDescent="0.3">
      <c r="A133" t="s">
        <v>466</v>
      </c>
      <c r="B133" s="1">
        <v>45129</v>
      </c>
      <c r="C133" t="s">
        <v>467</v>
      </c>
      <c r="D133" t="s">
        <v>290</v>
      </c>
      <c r="E133">
        <v>4</v>
      </c>
      <c r="F133" t="s">
        <v>78</v>
      </c>
      <c r="G133">
        <v>21</v>
      </c>
      <c r="H133" t="s">
        <v>468</v>
      </c>
      <c r="I133" t="s">
        <v>30</v>
      </c>
      <c r="J133">
        <v>46</v>
      </c>
      <c r="K133" t="s">
        <v>155</v>
      </c>
      <c r="L133" t="s">
        <v>108</v>
      </c>
      <c r="M133" s="1">
        <v>45233</v>
      </c>
      <c r="N133" t="s">
        <v>44</v>
      </c>
      <c r="O133" t="s">
        <v>291</v>
      </c>
      <c r="P133" t="s">
        <v>68</v>
      </c>
      <c r="Q133" t="s">
        <v>111</v>
      </c>
      <c r="R133">
        <v>2649.82</v>
      </c>
      <c r="S133">
        <v>3522.16</v>
      </c>
      <c r="T133">
        <v>205</v>
      </c>
      <c r="U133">
        <v>16785.560000000001</v>
      </c>
      <c r="V133">
        <v>2161.85</v>
      </c>
      <c r="W133">
        <v>14623.71</v>
      </c>
      <c r="X133">
        <v>4189.46</v>
      </c>
      <c r="Y133" t="s">
        <v>56</v>
      </c>
      <c r="Z133">
        <v>14088.64</v>
      </c>
      <c r="AA133">
        <v>3489.3599999999988</v>
      </c>
    </row>
    <row r="134" spans="1:27" x14ac:dyDescent="0.3">
      <c r="A134" t="s">
        <v>469</v>
      </c>
      <c r="B134" s="1">
        <v>45042</v>
      </c>
      <c r="C134" t="s">
        <v>470</v>
      </c>
      <c r="D134" t="s">
        <v>471</v>
      </c>
      <c r="E134">
        <v>3</v>
      </c>
      <c r="F134" t="s">
        <v>51</v>
      </c>
      <c r="G134">
        <v>19</v>
      </c>
      <c r="H134" t="s">
        <v>472</v>
      </c>
      <c r="I134" t="s">
        <v>30</v>
      </c>
      <c r="J134">
        <v>21</v>
      </c>
      <c r="K134" t="s">
        <v>73</v>
      </c>
      <c r="L134" t="s">
        <v>66</v>
      </c>
      <c r="M134" s="1">
        <v>45489</v>
      </c>
      <c r="N134" t="s">
        <v>33</v>
      </c>
      <c r="O134" t="s">
        <v>473</v>
      </c>
      <c r="P134" t="s">
        <v>68</v>
      </c>
      <c r="Q134" t="s">
        <v>120</v>
      </c>
      <c r="R134">
        <v>1492.62</v>
      </c>
      <c r="S134">
        <v>2285.1999999999998</v>
      </c>
      <c r="T134">
        <v>106</v>
      </c>
      <c r="U134">
        <v>15744.07</v>
      </c>
      <c r="V134">
        <v>740.93</v>
      </c>
      <c r="W134">
        <v>15003.14</v>
      </c>
      <c r="X134">
        <v>1801.97</v>
      </c>
      <c r="Y134" t="s">
        <v>37</v>
      </c>
      <c r="Z134">
        <v>6855.5999999999995</v>
      </c>
      <c r="AA134">
        <v>2377.7399999999998</v>
      </c>
    </row>
    <row r="135" spans="1:27" x14ac:dyDescent="0.3">
      <c r="A135" t="s">
        <v>474</v>
      </c>
      <c r="B135" s="1">
        <v>45159</v>
      </c>
      <c r="C135" t="s">
        <v>475</v>
      </c>
      <c r="D135" t="s">
        <v>259</v>
      </c>
      <c r="E135">
        <v>2</v>
      </c>
      <c r="F135" t="s">
        <v>90</v>
      </c>
      <c r="G135">
        <v>17</v>
      </c>
      <c r="H135" t="s">
        <v>476</v>
      </c>
      <c r="I135" t="s">
        <v>80</v>
      </c>
      <c r="J135">
        <v>41</v>
      </c>
      <c r="K135" t="s">
        <v>60</v>
      </c>
      <c r="L135" t="s">
        <v>53</v>
      </c>
      <c r="M135" s="1">
        <v>45192</v>
      </c>
      <c r="N135" t="s">
        <v>44</v>
      </c>
      <c r="O135" t="s">
        <v>261</v>
      </c>
      <c r="P135" t="s">
        <v>94</v>
      </c>
      <c r="Q135" t="s">
        <v>111</v>
      </c>
      <c r="R135">
        <v>4426.51</v>
      </c>
      <c r="S135">
        <v>5123.7299999999996</v>
      </c>
      <c r="T135">
        <v>298</v>
      </c>
      <c r="U135">
        <v>17679.11</v>
      </c>
      <c r="V135">
        <v>2020.39</v>
      </c>
      <c r="W135">
        <v>15658.72</v>
      </c>
      <c r="X135">
        <v>904.55</v>
      </c>
      <c r="Y135" t="s">
        <v>56</v>
      </c>
      <c r="Z135">
        <v>10247.459999999999</v>
      </c>
      <c r="AA135">
        <v>1394.4399999999987</v>
      </c>
    </row>
    <row r="136" spans="1:27" x14ac:dyDescent="0.3">
      <c r="A136" t="s">
        <v>477</v>
      </c>
      <c r="B136" s="1">
        <v>45277</v>
      </c>
      <c r="C136" t="s">
        <v>478</v>
      </c>
      <c r="D136" t="s">
        <v>89</v>
      </c>
      <c r="E136">
        <v>2</v>
      </c>
      <c r="F136" t="s">
        <v>90</v>
      </c>
      <c r="G136">
        <v>0</v>
      </c>
      <c r="H136" t="s">
        <v>479</v>
      </c>
      <c r="I136" t="s">
        <v>80</v>
      </c>
      <c r="J136">
        <v>56</v>
      </c>
      <c r="K136" t="s">
        <v>73</v>
      </c>
      <c r="L136" t="s">
        <v>66</v>
      </c>
      <c r="M136" s="1">
        <v>45186</v>
      </c>
      <c r="N136" t="s">
        <v>54</v>
      </c>
      <c r="O136" t="s">
        <v>93</v>
      </c>
      <c r="P136" t="s">
        <v>94</v>
      </c>
      <c r="Q136" t="s">
        <v>46</v>
      </c>
      <c r="R136">
        <v>1290.44</v>
      </c>
      <c r="S136">
        <v>1756.94</v>
      </c>
      <c r="T136">
        <v>226</v>
      </c>
      <c r="U136">
        <v>7025.31</v>
      </c>
      <c r="V136">
        <v>1338.84</v>
      </c>
      <c r="W136">
        <v>5686.47</v>
      </c>
      <c r="X136">
        <v>2862.84</v>
      </c>
      <c r="Y136" t="s">
        <v>47</v>
      </c>
      <c r="Z136">
        <v>3513.88</v>
      </c>
      <c r="AA136">
        <v>933</v>
      </c>
    </row>
    <row r="137" spans="1:27" x14ac:dyDescent="0.3">
      <c r="A137" t="s">
        <v>480</v>
      </c>
      <c r="B137" s="1">
        <v>45157</v>
      </c>
      <c r="C137" t="s">
        <v>481</v>
      </c>
      <c r="D137" t="s">
        <v>354</v>
      </c>
      <c r="E137">
        <v>6</v>
      </c>
      <c r="F137" t="s">
        <v>28</v>
      </c>
      <c r="G137">
        <v>17</v>
      </c>
      <c r="H137" t="s">
        <v>482</v>
      </c>
      <c r="I137" t="s">
        <v>80</v>
      </c>
      <c r="J137">
        <v>25</v>
      </c>
      <c r="K137" t="s">
        <v>53</v>
      </c>
      <c r="L137" t="s">
        <v>108</v>
      </c>
      <c r="M137" s="1">
        <v>45315</v>
      </c>
      <c r="N137" t="s">
        <v>33</v>
      </c>
      <c r="O137" t="s">
        <v>356</v>
      </c>
      <c r="P137" t="s">
        <v>68</v>
      </c>
      <c r="Q137" t="s">
        <v>120</v>
      </c>
      <c r="R137">
        <v>3959.29</v>
      </c>
      <c r="S137">
        <v>5340.73</v>
      </c>
      <c r="T137">
        <v>91</v>
      </c>
      <c r="U137">
        <v>9531.16</v>
      </c>
      <c r="V137">
        <v>1644.06</v>
      </c>
      <c r="W137">
        <v>7887.1</v>
      </c>
      <c r="X137">
        <v>3398.6</v>
      </c>
      <c r="Y137" t="s">
        <v>47</v>
      </c>
      <c r="Z137">
        <v>32044.379999999997</v>
      </c>
      <c r="AA137">
        <v>8288.6399999999976</v>
      </c>
    </row>
    <row r="138" spans="1:27" x14ac:dyDescent="0.3">
      <c r="A138" t="s">
        <v>483</v>
      </c>
      <c r="B138" s="1">
        <v>45031</v>
      </c>
      <c r="C138" t="s">
        <v>484</v>
      </c>
      <c r="D138" t="s">
        <v>98</v>
      </c>
      <c r="E138">
        <v>5</v>
      </c>
      <c r="F138" t="s">
        <v>51</v>
      </c>
      <c r="G138">
        <v>15</v>
      </c>
      <c r="H138" t="s">
        <v>485</v>
      </c>
      <c r="I138" t="s">
        <v>80</v>
      </c>
      <c r="J138">
        <v>21</v>
      </c>
      <c r="K138" t="s">
        <v>73</v>
      </c>
      <c r="L138" t="s">
        <v>108</v>
      </c>
      <c r="M138" s="1">
        <v>45405</v>
      </c>
      <c r="N138" t="s">
        <v>54</v>
      </c>
      <c r="O138" t="s">
        <v>100</v>
      </c>
      <c r="P138" t="s">
        <v>94</v>
      </c>
      <c r="Q138" t="s">
        <v>36</v>
      </c>
      <c r="R138">
        <v>4225.4799999999996</v>
      </c>
      <c r="S138">
        <v>6100.15</v>
      </c>
      <c r="T138">
        <v>279</v>
      </c>
      <c r="U138">
        <v>12889.5</v>
      </c>
      <c r="V138">
        <v>2234.7600000000002</v>
      </c>
      <c r="W138">
        <v>10654.74</v>
      </c>
      <c r="X138">
        <v>3970.79</v>
      </c>
      <c r="Y138" t="s">
        <v>56</v>
      </c>
      <c r="Z138">
        <v>30500.75</v>
      </c>
      <c r="AA138">
        <v>9373.35</v>
      </c>
    </row>
    <row r="139" spans="1:27" x14ac:dyDescent="0.3">
      <c r="A139" t="s">
        <v>486</v>
      </c>
      <c r="B139" s="1">
        <v>44933</v>
      </c>
      <c r="C139" t="s">
        <v>487</v>
      </c>
      <c r="D139" t="s">
        <v>193</v>
      </c>
      <c r="E139">
        <v>1</v>
      </c>
      <c r="F139" t="s">
        <v>51</v>
      </c>
      <c r="G139">
        <v>2</v>
      </c>
      <c r="H139" t="s">
        <v>488</v>
      </c>
      <c r="I139" t="s">
        <v>30</v>
      </c>
      <c r="J139">
        <v>41</v>
      </c>
      <c r="K139" t="s">
        <v>155</v>
      </c>
      <c r="L139" t="s">
        <v>53</v>
      </c>
      <c r="M139" s="1">
        <v>44861</v>
      </c>
      <c r="N139" t="s">
        <v>44</v>
      </c>
      <c r="O139" t="s">
        <v>194</v>
      </c>
      <c r="P139" t="s">
        <v>94</v>
      </c>
      <c r="Q139" t="s">
        <v>120</v>
      </c>
      <c r="R139">
        <v>1267.6600000000001</v>
      </c>
      <c r="S139">
        <v>1481.07</v>
      </c>
      <c r="T139">
        <v>99</v>
      </c>
      <c r="U139">
        <v>4283.8599999999997</v>
      </c>
      <c r="V139">
        <v>551.24</v>
      </c>
      <c r="W139">
        <v>3732.62</v>
      </c>
      <c r="X139">
        <v>523.27</v>
      </c>
      <c r="Y139" t="s">
        <v>37</v>
      </c>
      <c r="Z139">
        <v>1481.07</v>
      </c>
      <c r="AA139">
        <v>213.40999999999985</v>
      </c>
    </row>
    <row r="140" spans="1:27" x14ac:dyDescent="0.3">
      <c r="A140" t="s">
        <v>489</v>
      </c>
      <c r="B140" s="1">
        <v>45263</v>
      </c>
      <c r="C140" t="s">
        <v>484</v>
      </c>
      <c r="D140" t="s">
        <v>236</v>
      </c>
      <c r="E140">
        <v>6</v>
      </c>
      <c r="F140" t="s">
        <v>28</v>
      </c>
      <c r="G140">
        <v>10</v>
      </c>
      <c r="H140" t="s">
        <v>485</v>
      </c>
      <c r="I140" t="s">
        <v>80</v>
      </c>
      <c r="J140">
        <v>21</v>
      </c>
      <c r="K140" t="s">
        <v>73</v>
      </c>
      <c r="L140" t="s">
        <v>108</v>
      </c>
      <c r="M140" s="1">
        <v>45405</v>
      </c>
      <c r="N140" t="s">
        <v>54</v>
      </c>
      <c r="O140" t="s">
        <v>238</v>
      </c>
      <c r="P140" t="s">
        <v>68</v>
      </c>
      <c r="Q140" t="s">
        <v>120</v>
      </c>
      <c r="R140">
        <v>3957.37</v>
      </c>
      <c r="S140">
        <v>5045.3500000000004</v>
      </c>
      <c r="T140">
        <v>227</v>
      </c>
      <c r="U140">
        <v>13966.53</v>
      </c>
      <c r="V140">
        <v>438.57</v>
      </c>
      <c r="W140">
        <v>13527.96</v>
      </c>
      <c r="X140">
        <v>3828.56</v>
      </c>
      <c r="Y140" t="s">
        <v>83</v>
      </c>
      <c r="Z140">
        <v>30272.100000000002</v>
      </c>
      <c r="AA140">
        <v>6527.8800000000028</v>
      </c>
    </row>
    <row r="141" spans="1:27" x14ac:dyDescent="0.3">
      <c r="A141" t="s">
        <v>490</v>
      </c>
      <c r="B141" s="1">
        <v>45245</v>
      </c>
      <c r="C141" t="s">
        <v>318</v>
      </c>
      <c r="D141" t="s">
        <v>125</v>
      </c>
      <c r="E141">
        <v>5</v>
      </c>
      <c r="F141" t="s">
        <v>28</v>
      </c>
      <c r="G141">
        <v>16</v>
      </c>
      <c r="H141" t="s">
        <v>319</v>
      </c>
      <c r="I141" t="s">
        <v>30</v>
      </c>
      <c r="J141">
        <v>41</v>
      </c>
      <c r="K141" t="s">
        <v>53</v>
      </c>
      <c r="L141" t="s">
        <v>81</v>
      </c>
      <c r="M141" s="1">
        <v>45379</v>
      </c>
      <c r="N141" t="s">
        <v>44</v>
      </c>
      <c r="O141" t="s">
        <v>126</v>
      </c>
      <c r="P141" t="s">
        <v>68</v>
      </c>
      <c r="Q141" t="s">
        <v>120</v>
      </c>
      <c r="R141">
        <v>4301.32</v>
      </c>
      <c r="S141">
        <v>6870.07</v>
      </c>
      <c r="T141">
        <v>243</v>
      </c>
      <c r="U141">
        <v>10437.67</v>
      </c>
      <c r="V141">
        <v>998.15</v>
      </c>
      <c r="W141">
        <v>9439.52</v>
      </c>
      <c r="X141">
        <v>3937.06</v>
      </c>
      <c r="Y141" t="s">
        <v>56</v>
      </c>
      <c r="Z141">
        <v>34350.35</v>
      </c>
      <c r="AA141">
        <v>12843.75</v>
      </c>
    </row>
    <row r="142" spans="1:27" x14ac:dyDescent="0.3">
      <c r="A142" t="s">
        <v>491</v>
      </c>
      <c r="B142" s="1">
        <v>45154</v>
      </c>
      <c r="C142" t="s">
        <v>492</v>
      </c>
      <c r="D142" t="s">
        <v>106</v>
      </c>
      <c r="E142">
        <v>4</v>
      </c>
      <c r="F142" t="s">
        <v>78</v>
      </c>
      <c r="G142">
        <v>2</v>
      </c>
      <c r="H142" t="s">
        <v>493</v>
      </c>
      <c r="I142" t="s">
        <v>30</v>
      </c>
      <c r="J142">
        <v>44</v>
      </c>
      <c r="K142" t="s">
        <v>60</v>
      </c>
      <c r="L142" t="s">
        <v>53</v>
      </c>
      <c r="M142" s="1">
        <v>44792</v>
      </c>
      <c r="N142" t="s">
        <v>54</v>
      </c>
      <c r="O142" t="s">
        <v>109</v>
      </c>
      <c r="P142" t="s">
        <v>110</v>
      </c>
      <c r="Q142" t="s">
        <v>111</v>
      </c>
      <c r="R142">
        <v>1622.17</v>
      </c>
      <c r="S142">
        <v>1993.72</v>
      </c>
      <c r="T142">
        <v>262</v>
      </c>
      <c r="U142">
        <v>13026.09</v>
      </c>
      <c r="V142">
        <v>1345.11</v>
      </c>
      <c r="W142">
        <v>11680.98</v>
      </c>
      <c r="X142">
        <v>4367.2700000000004</v>
      </c>
      <c r="Y142" t="s">
        <v>47</v>
      </c>
      <c r="Z142">
        <v>7974.88</v>
      </c>
      <c r="AA142">
        <v>1486.1999999999998</v>
      </c>
    </row>
    <row r="143" spans="1:27" x14ac:dyDescent="0.3">
      <c r="A143" t="s">
        <v>494</v>
      </c>
      <c r="B143" s="1">
        <v>45013</v>
      </c>
      <c r="C143" t="s">
        <v>495</v>
      </c>
      <c r="D143" t="s">
        <v>246</v>
      </c>
      <c r="E143">
        <v>5</v>
      </c>
      <c r="F143" t="s">
        <v>78</v>
      </c>
      <c r="G143">
        <v>4</v>
      </c>
      <c r="H143" t="s">
        <v>496</v>
      </c>
      <c r="I143" t="s">
        <v>30</v>
      </c>
      <c r="J143">
        <v>30</v>
      </c>
      <c r="K143" t="s">
        <v>65</v>
      </c>
      <c r="L143" t="s">
        <v>53</v>
      </c>
      <c r="M143" s="1">
        <v>45413</v>
      </c>
      <c r="N143" t="s">
        <v>33</v>
      </c>
      <c r="O143" t="s">
        <v>247</v>
      </c>
      <c r="P143" t="s">
        <v>110</v>
      </c>
      <c r="Q143" t="s">
        <v>120</v>
      </c>
      <c r="R143">
        <v>4133.24</v>
      </c>
      <c r="S143">
        <v>6302.13</v>
      </c>
      <c r="T143">
        <v>299</v>
      </c>
      <c r="U143">
        <v>9017.59</v>
      </c>
      <c r="V143">
        <v>1397.4</v>
      </c>
      <c r="W143">
        <v>7620.19</v>
      </c>
      <c r="X143">
        <v>3725.85</v>
      </c>
      <c r="Y143" t="s">
        <v>56</v>
      </c>
      <c r="Z143">
        <v>31510.65</v>
      </c>
      <c r="AA143">
        <v>10844.45</v>
      </c>
    </row>
    <row r="144" spans="1:27" x14ac:dyDescent="0.3">
      <c r="A144" t="s">
        <v>497</v>
      </c>
      <c r="B144" s="1">
        <v>44973</v>
      </c>
      <c r="C144" t="s">
        <v>498</v>
      </c>
      <c r="D144" t="s">
        <v>448</v>
      </c>
      <c r="E144">
        <v>5</v>
      </c>
      <c r="F144" t="s">
        <v>51</v>
      </c>
      <c r="G144">
        <v>20</v>
      </c>
      <c r="H144" t="s">
        <v>499</v>
      </c>
      <c r="I144" t="s">
        <v>30</v>
      </c>
      <c r="J144">
        <v>45</v>
      </c>
      <c r="K144" t="s">
        <v>73</v>
      </c>
      <c r="L144" t="s">
        <v>53</v>
      </c>
      <c r="M144" s="1">
        <v>44639</v>
      </c>
      <c r="N144" t="s">
        <v>33</v>
      </c>
      <c r="O144" t="s">
        <v>449</v>
      </c>
      <c r="P144" t="s">
        <v>110</v>
      </c>
      <c r="Q144" t="s">
        <v>120</v>
      </c>
      <c r="R144">
        <v>4836.3999999999996</v>
      </c>
      <c r="S144">
        <v>7004.05</v>
      </c>
      <c r="T144">
        <v>98</v>
      </c>
      <c r="U144">
        <v>5404.13</v>
      </c>
      <c r="V144">
        <v>1083.51</v>
      </c>
      <c r="W144">
        <v>4320.62</v>
      </c>
      <c r="X144">
        <v>3925.09</v>
      </c>
      <c r="Y144" t="s">
        <v>83</v>
      </c>
      <c r="Z144">
        <v>35020.25</v>
      </c>
      <c r="AA144">
        <v>10838.250000000004</v>
      </c>
    </row>
    <row r="145" spans="1:27" x14ac:dyDescent="0.3">
      <c r="A145" t="s">
        <v>500</v>
      </c>
      <c r="B145" s="1">
        <v>45070</v>
      </c>
      <c r="C145" t="s">
        <v>501</v>
      </c>
      <c r="D145" t="s">
        <v>272</v>
      </c>
      <c r="E145">
        <v>2</v>
      </c>
      <c r="F145" t="s">
        <v>90</v>
      </c>
      <c r="G145">
        <v>11</v>
      </c>
      <c r="H145" t="s">
        <v>502</v>
      </c>
      <c r="I145" t="s">
        <v>80</v>
      </c>
      <c r="J145">
        <v>34</v>
      </c>
      <c r="K145" t="s">
        <v>92</v>
      </c>
      <c r="L145" t="s">
        <v>43</v>
      </c>
      <c r="M145" s="1">
        <v>45698</v>
      </c>
      <c r="N145" t="s">
        <v>44</v>
      </c>
      <c r="O145" t="s">
        <v>273</v>
      </c>
      <c r="P145" t="s">
        <v>68</v>
      </c>
      <c r="Q145" t="s">
        <v>111</v>
      </c>
      <c r="R145">
        <v>1137.26</v>
      </c>
      <c r="S145">
        <v>1649.58</v>
      </c>
      <c r="T145">
        <v>243</v>
      </c>
      <c r="U145">
        <v>14580.24</v>
      </c>
      <c r="V145">
        <v>1773.45</v>
      </c>
      <c r="W145">
        <v>12806.79</v>
      </c>
      <c r="X145">
        <v>1343.87</v>
      </c>
      <c r="Y145" t="s">
        <v>47</v>
      </c>
      <c r="Z145">
        <v>3299.16</v>
      </c>
      <c r="AA145">
        <v>1024.6399999999999</v>
      </c>
    </row>
    <row r="146" spans="1:27" x14ac:dyDescent="0.3">
      <c r="A146" t="s">
        <v>503</v>
      </c>
      <c r="B146" s="1">
        <v>44957</v>
      </c>
      <c r="C146" t="s">
        <v>475</v>
      </c>
      <c r="D146" t="s">
        <v>106</v>
      </c>
      <c r="E146">
        <v>3</v>
      </c>
      <c r="F146" t="s">
        <v>90</v>
      </c>
      <c r="G146">
        <v>4</v>
      </c>
      <c r="H146" t="s">
        <v>476</v>
      </c>
      <c r="I146" t="s">
        <v>80</v>
      </c>
      <c r="J146">
        <v>41</v>
      </c>
      <c r="K146" t="s">
        <v>60</v>
      </c>
      <c r="L146" t="s">
        <v>53</v>
      </c>
      <c r="M146" s="1">
        <v>45192</v>
      </c>
      <c r="N146" t="s">
        <v>44</v>
      </c>
      <c r="O146" t="s">
        <v>109</v>
      </c>
      <c r="P146" t="s">
        <v>110</v>
      </c>
      <c r="Q146" t="s">
        <v>111</v>
      </c>
      <c r="R146">
        <v>1622.17</v>
      </c>
      <c r="S146">
        <v>1993.72</v>
      </c>
      <c r="T146">
        <v>262</v>
      </c>
      <c r="U146">
        <v>18715.36</v>
      </c>
      <c r="V146">
        <v>241.39</v>
      </c>
      <c r="W146">
        <v>18473.97</v>
      </c>
      <c r="X146">
        <v>3089.57</v>
      </c>
      <c r="Y146" t="s">
        <v>83</v>
      </c>
      <c r="Z146">
        <v>5981.16</v>
      </c>
      <c r="AA146">
        <v>1114.6499999999999</v>
      </c>
    </row>
    <row r="147" spans="1:27" x14ac:dyDescent="0.3">
      <c r="A147" t="s">
        <v>504</v>
      </c>
      <c r="B147" s="1">
        <v>45119</v>
      </c>
      <c r="C147" t="s">
        <v>505</v>
      </c>
      <c r="D147" t="s">
        <v>122</v>
      </c>
      <c r="E147">
        <v>3</v>
      </c>
      <c r="F147" t="s">
        <v>51</v>
      </c>
      <c r="G147">
        <v>15</v>
      </c>
      <c r="H147" t="s">
        <v>506</v>
      </c>
      <c r="I147" t="s">
        <v>80</v>
      </c>
      <c r="J147">
        <v>42</v>
      </c>
      <c r="K147" t="s">
        <v>65</v>
      </c>
      <c r="L147" t="s">
        <v>66</v>
      </c>
      <c r="M147" s="1">
        <v>45509</v>
      </c>
      <c r="N147" t="s">
        <v>33</v>
      </c>
      <c r="O147" t="s">
        <v>123</v>
      </c>
      <c r="P147" t="s">
        <v>68</v>
      </c>
      <c r="Q147" t="s">
        <v>46</v>
      </c>
      <c r="R147">
        <v>1480.33</v>
      </c>
      <c r="S147">
        <v>1709.3</v>
      </c>
      <c r="T147">
        <v>229</v>
      </c>
      <c r="U147">
        <v>13612.18</v>
      </c>
      <c r="V147">
        <v>2177.0700000000002</v>
      </c>
      <c r="W147">
        <v>11435.11</v>
      </c>
      <c r="X147">
        <v>803.5</v>
      </c>
      <c r="Y147" t="s">
        <v>56</v>
      </c>
      <c r="Z147">
        <v>5127.8999999999996</v>
      </c>
      <c r="AA147">
        <v>686.91000000000008</v>
      </c>
    </row>
    <row r="148" spans="1:27" x14ac:dyDescent="0.3">
      <c r="A148" t="s">
        <v>507</v>
      </c>
      <c r="B148" s="1">
        <v>45034</v>
      </c>
      <c r="C148" t="s">
        <v>326</v>
      </c>
      <c r="D148" t="s">
        <v>428</v>
      </c>
      <c r="E148">
        <v>1</v>
      </c>
      <c r="F148" t="s">
        <v>28</v>
      </c>
      <c r="G148">
        <v>2</v>
      </c>
      <c r="H148" t="s">
        <v>327</v>
      </c>
      <c r="I148" t="s">
        <v>80</v>
      </c>
      <c r="J148">
        <v>56</v>
      </c>
      <c r="K148" t="s">
        <v>42</v>
      </c>
      <c r="L148" t="s">
        <v>53</v>
      </c>
      <c r="M148" s="1">
        <v>45103</v>
      </c>
      <c r="N148" t="s">
        <v>54</v>
      </c>
      <c r="O148" t="s">
        <v>429</v>
      </c>
      <c r="P148" t="s">
        <v>110</v>
      </c>
      <c r="Q148" t="s">
        <v>46</v>
      </c>
      <c r="R148">
        <v>929.24</v>
      </c>
      <c r="S148">
        <v>1350.29</v>
      </c>
      <c r="T148">
        <v>22</v>
      </c>
      <c r="U148">
        <v>6535.28</v>
      </c>
      <c r="V148">
        <v>1273.07</v>
      </c>
      <c r="W148">
        <v>5262.21</v>
      </c>
      <c r="X148">
        <v>4149.1499999999996</v>
      </c>
      <c r="Y148" t="s">
        <v>47</v>
      </c>
      <c r="Z148">
        <v>1350.29</v>
      </c>
      <c r="AA148">
        <v>421.04999999999995</v>
      </c>
    </row>
    <row r="149" spans="1:27" x14ac:dyDescent="0.3">
      <c r="A149" t="s">
        <v>508</v>
      </c>
      <c r="B149" s="1">
        <v>45128</v>
      </c>
      <c r="C149" t="s">
        <v>509</v>
      </c>
      <c r="D149" t="s">
        <v>510</v>
      </c>
      <c r="E149">
        <v>5</v>
      </c>
      <c r="F149" t="s">
        <v>51</v>
      </c>
      <c r="G149">
        <v>1</v>
      </c>
      <c r="H149" t="s">
        <v>511</v>
      </c>
      <c r="I149" t="s">
        <v>80</v>
      </c>
      <c r="J149">
        <v>46</v>
      </c>
      <c r="K149" t="s">
        <v>60</v>
      </c>
      <c r="L149" t="s">
        <v>43</v>
      </c>
      <c r="M149" s="1">
        <v>44961</v>
      </c>
      <c r="N149" t="s">
        <v>54</v>
      </c>
      <c r="O149" t="s">
        <v>512</v>
      </c>
      <c r="P149" t="s">
        <v>110</v>
      </c>
      <c r="Q149" t="s">
        <v>36</v>
      </c>
      <c r="R149">
        <v>952.01</v>
      </c>
      <c r="S149">
        <v>1107.5</v>
      </c>
      <c r="T149">
        <v>162</v>
      </c>
      <c r="U149">
        <v>4996.9799999999996</v>
      </c>
      <c r="V149">
        <v>1058.67</v>
      </c>
      <c r="W149">
        <v>3938.31</v>
      </c>
      <c r="X149">
        <v>487.01</v>
      </c>
      <c r="Y149" t="s">
        <v>83</v>
      </c>
      <c r="Z149">
        <v>5537.5</v>
      </c>
      <c r="AA149">
        <v>777.45</v>
      </c>
    </row>
    <row r="150" spans="1:27" x14ac:dyDescent="0.3">
      <c r="A150" t="s">
        <v>513</v>
      </c>
      <c r="B150" s="1">
        <v>45065</v>
      </c>
      <c r="C150" t="s">
        <v>368</v>
      </c>
      <c r="D150" t="s">
        <v>102</v>
      </c>
      <c r="E150">
        <v>2</v>
      </c>
      <c r="F150" t="s">
        <v>28</v>
      </c>
      <c r="G150">
        <v>19</v>
      </c>
      <c r="H150" t="s">
        <v>369</v>
      </c>
      <c r="I150" t="s">
        <v>80</v>
      </c>
      <c r="J150">
        <v>30</v>
      </c>
      <c r="K150" t="s">
        <v>73</v>
      </c>
      <c r="L150" t="s">
        <v>108</v>
      </c>
      <c r="M150" s="1">
        <v>44835</v>
      </c>
      <c r="N150" t="s">
        <v>54</v>
      </c>
      <c r="O150" t="s">
        <v>103</v>
      </c>
      <c r="P150" t="s">
        <v>94</v>
      </c>
      <c r="Q150" t="s">
        <v>46</v>
      </c>
      <c r="R150">
        <v>4398.43</v>
      </c>
      <c r="S150">
        <v>6683.28</v>
      </c>
      <c r="T150">
        <v>152</v>
      </c>
      <c r="U150">
        <v>900.3</v>
      </c>
      <c r="V150">
        <v>120.85</v>
      </c>
      <c r="W150">
        <v>779.45</v>
      </c>
      <c r="X150">
        <v>4781.54</v>
      </c>
      <c r="Y150" t="s">
        <v>37</v>
      </c>
      <c r="Z150">
        <v>13366.56</v>
      </c>
      <c r="AA150">
        <v>4569.6999999999989</v>
      </c>
    </row>
    <row r="151" spans="1:27" x14ac:dyDescent="0.3">
      <c r="A151" t="s">
        <v>514</v>
      </c>
      <c r="B151" s="1">
        <v>45067</v>
      </c>
      <c r="C151" t="s">
        <v>515</v>
      </c>
      <c r="D151" t="s">
        <v>207</v>
      </c>
      <c r="E151">
        <v>2</v>
      </c>
      <c r="F151" t="s">
        <v>51</v>
      </c>
      <c r="G151">
        <v>3</v>
      </c>
      <c r="H151" t="s">
        <v>516</v>
      </c>
      <c r="I151" t="s">
        <v>30</v>
      </c>
      <c r="J151">
        <v>35</v>
      </c>
      <c r="K151" t="s">
        <v>31</v>
      </c>
      <c r="L151" t="s">
        <v>66</v>
      </c>
      <c r="M151" s="1">
        <v>44812</v>
      </c>
      <c r="N151" t="s">
        <v>33</v>
      </c>
      <c r="O151" t="s">
        <v>209</v>
      </c>
      <c r="P151" t="s">
        <v>35</v>
      </c>
      <c r="Q151" t="s">
        <v>46</v>
      </c>
      <c r="R151">
        <v>4764.59</v>
      </c>
      <c r="S151">
        <v>5703.68</v>
      </c>
      <c r="T151">
        <v>87</v>
      </c>
      <c r="U151">
        <v>12258.11</v>
      </c>
      <c r="V151">
        <v>2946.12</v>
      </c>
      <c r="W151">
        <v>9311.99</v>
      </c>
      <c r="X151">
        <v>2342.7199999999998</v>
      </c>
      <c r="Y151" t="s">
        <v>37</v>
      </c>
      <c r="Z151">
        <v>11407.36</v>
      </c>
      <c r="AA151">
        <v>1878.1800000000003</v>
      </c>
    </row>
    <row r="152" spans="1:27" x14ac:dyDescent="0.3">
      <c r="A152" t="s">
        <v>517</v>
      </c>
      <c r="B152" s="1">
        <v>45186</v>
      </c>
      <c r="C152" t="s">
        <v>518</v>
      </c>
      <c r="D152" t="s">
        <v>163</v>
      </c>
      <c r="E152">
        <v>4</v>
      </c>
      <c r="F152" t="s">
        <v>51</v>
      </c>
      <c r="G152">
        <v>1</v>
      </c>
      <c r="H152" t="s">
        <v>519</v>
      </c>
      <c r="I152" t="s">
        <v>30</v>
      </c>
      <c r="J152">
        <v>42</v>
      </c>
      <c r="K152" t="s">
        <v>155</v>
      </c>
      <c r="L152" t="s">
        <v>66</v>
      </c>
      <c r="M152" s="1">
        <v>44880</v>
      </c>
      <c r="N152" t="s">
        <v>54</v>
      </c>
      <c r="O152" t="s">
        <v>165</v>
      </c>
      <c r="P152" t="s">
        <v>94</v>
      </c>
      <c r="Q152" t="s">
        <v>120</v>
      </c>
      <c r="R152">
        <v>1733.92</v>
      </c>
      <c r="S152">
        <v>2099.92</v>
      </c>
      <c r="T152">
        <v>175</v>
      </c>
      <c r="U152">
        <v>11980.4</v>
      </c>
      <c r="V152">
        <v>1907.49</v>
      </c>
      <c r="W152">
        <v>10072.91</v>
      </c>
      <c r="X152">
        <v>3284.7</v>
      </c>
      <c r="Y152" t="s">
        <v>47</v>
      </c>
      <c r="Z152">
        <v>8399.68</v>
      </c>
      <c r="AA152">
        <v>1464</v>
      </c>
    </row>
    <row r="153" spans="1:27" x14ac:dyDescent="0.3">
      <c r="A153" t="s">
        <v>520</v>
      </c>
      <c r="B153" s="1">
        <v>44995</v>
      </c>
      <c r="C153" t="s">
        <v>518</v>
      </c>
      <c r="D153" t="s">
        <v>27</v>
      </c>
      <c r="E153">
        <v>2</v>
      </c>
      <c r="F153" t="s">
        <v>51</v>
      </c>
      <c r="G153">
        <v>12</v>
      </c>
      <c r="H153" t="s">
        <v>519</v>
      </c>
      <c r="I153" t="s">
        <v>30</v>
      </c>
      <c r="J153">
        <v>42</v>
      </c>
      <c r="K153" t="s">
        <v>155</v>
      </c>
      <c r="L153" t="s">
        <v>66</v>
      </c>
      <c r="M153" s="1">
        <v>44880</v>
      </c>
      <c r="N153" t="s">
        <v>54</v>
      </c>
      <c r="O153" t="s">
        <v>34</v>
      </c>
      <c r="P153" t="s">
        <v>35</v>
      </c>
      <c r="Q153" t="s">
        <v>36</v>
      </c>
      <c r="R153">
        <v>4318.8599999999997</v>
      </c>
      <c r="S153">
        <v>4880.6400000000003</v>
      </c>
      <c r="T153">
        <v>149</v>
      </c>
      <c r="U153">
        <v>5449.31</v>
      </c>
      <c r="V153">
        <v>990.91</v>
      </c>
      <c r="W153">
        <v>4458.3999999999996</v>
      </c>
      <c r="X153">
        <v>4798.16</v>
      </c>
      <c r="Y153" t="s">
        <v>83</v>
      </c>
      <c r="Z153">
        <v>9761.2800000000007</v>
      </c>
      <c r="AA153">
        <v>1123.5600000000013</v>
      </c>
    </row>
    <row r="154" spans="1:27" x14ac:dyDescent="0.3">
      <c r="A154" t="s">
        <v>521</v>
      </c>
      <c r="B154" s="1">
        <v>45055</v>
      </c>
      <c r="C154" t="s">
        <v>346</v>
      </c>
      <c r="D154" t="s">
        <v>290</v>
      </c>
      <c r="E154">
        <v>3</v>
      </c>
      <c r="F154" t="s">
        <v>28</v>
      </c>
      <c r="G154">
        <v>15</v>
      </c>
      <c r="H154" t="s">
        <v>347</v>
      </c>
      <c r="I154" t="s">
        <v>30</v>
      </c>
      <c r="J154">
        <v>23</v>
      </c>
      <c r="K154" t="s">
        <v>92</v>
      </c>
      <c r="L154" t="s">
        <v>81</v>
      </c>
      <c r="M154" s="1">
        <v>45595</v>
      </c>
      <c r="N154" t="s">
        <v>33</v>
      </c>
      <c r="O154" t="s">
        <v>291</v>
      </c>
      <c r="P154" t="s">
        <v>68</v>
      </c>
      <c r="Q154" t="s">
        <v>111</v>
      </c>
      <c r="R154">
        <v>2649.82</v>
      </c>
      <c r="S154">
        <v>3522.16</v>
      </c>
      <c r="T154">
        <v>205</v>
      </c>
      <c r="U154">
        <v>2442.87</v>
      </c>
      <c r="V154">
        <v>457.23</v>
      </c>
      <c r="W154">
        <v>1985.64</v>
      </c>
      <c r="X154">
        <v>2035.99</v>
      </c>
      <c r="Y154" t="s">
        <v>83</v>
      </c>
      <c r="Z154">
        <v>10566.48</v>
      </c>
      <c r="AA154">
        <v>2617.0199999999991</v>
      </c>
    </row>
    <row r="155" spans="1:27" x14ac:dyDescent="0.3">
      <c r="A155" t="s">
        <v>522</v>
      </c>
      <c r="B155" s="1">
        <v>45199</v>
      </c>
      <c r="C155" t="s">
        <v>362</v>
      </c>
      <c r="D155" t="s">
        <v>302</v>
      </c>
      <c r="E155">
        <v>4</v>
      </c>
      <c r="F155" t="s">
        <v>28</v>
      </c>
      <c r="G155">
        <v>14</v>
      </c>
      <c r="H155" t="s">
        <v>363</v>
      </c>
      <c r="I155" t="s">
        <v>30</v>
      </c>
      <c r="J155">
        <v>37</v>
      </c>
      <c r="K155" t="s">
        <v>42</v>
      </c>
      <c r="L155" t="s">
        <v>81</v>
      </c>
      <c r="M155" s="1">
        <v>45596</v>
      </c>
      <c r="N155" t="s">
        <v>44</v>
      </c>
      <c r="O155" t="s">
        <v>304</v>
      </c>
      <c r="P155" t="s">
        <v>68</v>
      </c>
      <c r="Q155" t="s">
        <v>120</v>
      </c>
      <c r="R155">
        <v>1858.72</v>
      </c>
      <c r="S155">
        <v>2175.88</v>
      </c>
      <c r="T155">
        <v>272</v>
      </c>
      <c r="U155">
        <v>11825.65</v>
      </c>
      <c r="V155">
        <v>2475.67</v>
      </c>
      <c r="W155">
        <v>9349.98</v>
      </c>
      <c r="X155">
        <v>4267.04</v>
      </c>
      <c r="Y155" t="s">
        <v>83</v>
      </c>
      <c r="Z155">
        <v>8703.52</v>
      </c>
      <c r="AA155">
        <v>1268.6400000000003</v>
      </c>
    </row>
    <row r="156" spans="1:27" x14ac:dyDescent="0.3">
      <c r="A156" t="s">
        <v>523</v>
      </c>
      <c r="B156" s="1">
        <v>45027</v>
      </c>
      <c r="C156" t="s">
        <v>524</v>
      </c>
      <c r="D156" t="s">
        <v>50</v>
      </c>
      <c r="E156">
        <v>1</v>
      </c>
      <c r="F156" t="s">
        <v>90</v>
      </c>
      <c r="G156">
        <v>12</v>
      </c>
      <c r="H156" t="s">
        <v>525</v>
      </c>
      <c r="I156" t="s">
        <v>80</v>
      </c>
      <c r="J156">
        <v>31</v>
      </c>
      <c r="K156" t="s">
        <v>65</v>
      </c>
      <c r="L156" t="s">
        <v>108</v>
      </c>
      <c r="M156" s="1">
        <v>45389</v>
      </c>
      <c r="N156" t="s">
        <v>44</v>
      </c>
      <c r="O156" t="s">
        <v>55</v>
      </c>
      <c r="P156" t="s">
        <v>35</v>
      </c>
      <c r="Q156" t="s">
        <v>46</v>
      </c>
      <c r="R156">
        <v>3612.18</v>
      </c>
      <c r="S156">
        <v>3996.91</v>
      </c>
      <c r="T156">
        <v>92</v>
      </c>
      <c r="U156">
        <v>14574.16</v>
      </c>
      <c r="V156">
        <v>3179.77</v>
      </c>
      <c r="W156">
        <v>11394.39</v>
      </c>
      <c r="X156">
        <v>3464.82</v>
      </c>
      <c r="Y156" t="s">
        <v>37</v>
      </c>
      <c r="Z156">
        <v>3996.91</v>
      </c>
      <c r="AA156">
        <v>384.73</v>
      </c>
    </row>
    <row r="157" spans="1:27" x14ac:dyDescent="0.3">
      <c r="A157" t="s">
        <v>526</v>
      </c>
      <c r="B157" s="1">
        <v>45262</v>
      </c>
      <c r="C157" t="s">
        <v>478</v>
      </c>
      <c r="D157" t="s">
        <v>527</v>
      </c>
      <c r="E157">
        <v>3</v>
      </c>
      <c r="F157" t="s">
        <v>78</v>
      </c>
      <c r="G157">
        <v>9</v>
      </c>
      <c r="H157" t="s">
        <v>479</v>
      </c>
      <c r="I157" t="s">
        <v>80</v>
      </c>
      <c r="J157">
        <v>56</v>
      </c>
      <c r="K157" t="s">
        <v>73</v>
      </c>
      <c r="L157" t="s">
        <v>66</v>
      </c>
      <c r="M157" s="1">
        <v>45186</v>
      </c>
      <c r="N157" t="s">
        <v>54</v>
      </c>
      <c r="O157" t="s">
        <v>528</v>
      </c>
      <c r="P157" t="s">
        <v>94</v>
      </c>
      <c r="Q157" t="s">
        <v>46</v>
      </c>
      <c r="R157">
        <v>2643.84</v>
      </c>
      <c r="S157">
        <v>3790.58</v>
      </c>
      <c r="T157">
        <v>63</v>
      </c>
      <c r="U157">
        <v>15304.96</v>
      </c>
      <c r="V157">
        <v>1603.52</v>
      </c>
      <c r="W157">
        <v>13701.44</v>
      </c>
      <c r="X157">
        <v>786.41</v>
      </c>
      <c r="Y157" t="s">
        <v>47</v>
      </c>
      <c r="Z157">
        <v>11371.74</v>
      </c>
      <c r="AA157">
        <v>3440.2199999999993</v>
      </c>
    </row>
    <row r="158" spans="1:27" x14ac:dyDescent="0.3">
      <c r="A158" t="s">
        <v>529</v>
      </c>
      <c r="B158" s="1">
        <v>45268</v>
      </c>
      <c r="C158" t="s">
        <v>524</v>
      </c>
      <c r="D158" t="s">
        <v>77</v>
      </c>
      <c r="E158">
        <v>2</v>
      </c>
      <c r="F158" t="s">
        <v>28</v>
      </c>
      <c r="G158">
        <v>20</v>
      </c>
      <c r="H158" t="s">
        <v>525</v>
      </c>
      <c r="I158" t="s">
        <v>80</v>
      </c>
      <c r="J158">
        <v>31</v>
      </c>
      <c r="K158" t="s">
        <v>65</v>
      </c>
      <c r="L158" t="s">
        <v>108</v>
      </c>
      <c r="M158" s="1">
        <v>45389</v>
      </c>
      <c r="N158" t="s">
        <v>44</v>
      </c>
      <c r="O158" t="s">
        <v>82</v>
      </c>
      <c r="P158" t="s">
        <v>35</v>
      </c>
      <c r="Q158" t="s">
        <v>46</v>
      </c>
      <c r="R158">
        <v>1607.82</v>
      </c>
      <c r="S158">
        <v>2197.14</v>
      </c>
      <c r="T158">
        <v>27</v>
      </c>
      <c r="U158">
        <v>5167.12</v>
      </c>
      <c r="V158">
        <v>1187.77</v>
      </c>
      <c r="W158">
        <v>3979.35</v>
      </c>
      <c r="X158">
        <v>4614.33</v>
      </c>
      <c r="Y158" t="s">
        <v>56</v>
      </c>
      <c r="Z158">
        <v>4394.28</v>
      </c>
      <c r="AA158">
        <v>1178.6399999999999</v>
      </c>
    </row>
    <row r="159" spans="1:27" x14ac:dyDescent="0.3">
      <c r="A159" t="s">
        <v>530</v>
      </c>
      <c r="B159" s="1">
        <v>45178</v>
      </c>
      <c r="C159" t="s">
        <v>531</v>
      </c>
      <c r="D159" t="s">
        <v>125</v>
      </c>
      <c r="E159">
        <v>4</v>
      </c>
      <c r="F159" t="s">
        <v>51</v>
      </c>
      <c r="G159">
        <v>20</v>
      </c>
      <c r="H159" t="s">
        <v>532</v>
      </c>
      <c r="I159" t="s">
        <v>30</v>
      </c>
      <c r="J159">
        <v>37</v>
      </c>
      <c r="K159" t="s">
        <v>73</v>
      </c>
      <c r="L159" t="s">
        <v>32</v>
      </c>
      <c r="M159" s="1">
        <v>45419</v>
      </c>
      <c r="N159" t="s">
        <v>33</v>
      </c>
      <c r="O159" t="s">
        <v>126</v>
      </c>
      <c r="P159" t="s">
        <v>68</v>
      </c>
      <c r="Q159" t="s">
        <v>120</v>
      </c>
      <c r="R159">
        <v>4301.32</v>
      </c>
      <c r="S159">
        <v>6870.07</v>
      </c>
      <c r="T159">
        <v>243</v>
      </c>
      <c r="U159">
        <v>17719.54</v>
      </c>
      <c r="V159">
        <v>3249.14</v>
      </c>
      <c r="W159">
        <v>14470.4</v>
      </c>
      <c r="X159">
        <v>2479.7399999999998</v>
      </c>
      <c r="Y159" t="s">
        <v>37</v>
      </c>
      <c r="Z159">
        <v>27480.28</v>
      </c>
      <c r="AA159">
        <v>10275</v>
      </c>
    </row>
    <row r="160" spans="1:27" x14ac:dyDescent="0.3">
      <c r="A160" t="s">
        <v>533</v>
      </c>
      <c r="B160" s="1">
        <v>45115</v>
      </c>
      <c r="C160" t="s">
        <v>524</v>
      </c>
      <c r="D160" t="s">
        <v>259</v>
      </c>
      <c r="E160">
        <v>1</v>
      </c>
      <c r="F160" t="s">
        <v>78</v>
      </c>
      <c r="G160">
        <v>10</v>
      </c>
      <c r="H160" t="s">
        <v>525</v>
      </c>
      <c r="I160" t="s">
        <v>80</v>
      </c>
      <c r="J160">
        <v>31</v>
      </c>
      <c r="K160" t="s">
        <v>65</v>
      </c>
      <c r="L160" t="s">
        <v>108</v>
      </c>
      <c r="M160" s="1">
        <v>45389</v>
      </c>
      <c r="N160" t="s">
        <v>44</v>
      </c>
      <c r="O160" t="s">
        <v>261</v>
      </c>
      <c r="P160" t="s">
        <v>94</v>
      </c>
      <c r="Q160" t="s">
        <v>111</v>
      </c>
      <c r="R160">
        <v>4426.51</v>
      </c>
      <c r="S160">
        <v>5123.7299999999996</v>
      </c>
      <c r="T160">
        <v>298</v>
      </c>
      <c r="U160">
        <v>19111.810000000001</v>
      </c>
      <c r="V160">
        <v>4207.74</v>
      </c>
      <c r="W160">
        <v>14904.07</v>
      </c>
      <c r="X160">
        <v>2166.54</v>
      </c>
      <c r="Y160" t="s">
        <v>47</v>
      </c>
      <c r="Z160">
        <v>5123.7299999999996</v>
      </c>
      <c r="AA160">
        <v>697.21999999999935</v>
      </c>
    </row>
    <row r="161" spans="1:27" x14ac:dyDescent="0.3">
      <c r="A161" t="s">
        <v>534</v>
      </c>
      <c r="B161" s="1">
        <v>45030</v>
      </c>
      <c r="C161" t="s">
        <v>535</v>
      </c>
      <c r="D161" t="s">
        <v>193</v>
      </c>
      <c r="E161">
        <v>6</v>
      </c>
      <c r="F161" t="s">
        <v>28</v>
      </c>
      <c r="G161">
        <v>6</v>
      </c>
      <c r="H161" t="s">
        <v>536</v>
      </c>
      <c r="I161" t="s">
        <v>80</v>
      </c>
      <c r="J161">
        <v>30</v>
      </c>
      <c r="K161" t="s">
        <v>42</v>
      </c>
      <c r="L161" t="s">
        <v>81</v>
      </c>
      <c r="M161" s="1">
        <v>44871</v>
      </c>
      <c r="N161" t="s">
        <v>44</v>
      </c>
      <c r="O161" t="s">
        <v>194</v>
      </c>
      <c r="P161" t="s">
        <v>94</v>
      </c>
      <c r="Q161" t="s">
        <v>120</v>
      </c>
      <c r="R161">
        <v>1267.6600000000001</v>
      </c>
      <c r="S161">
        <v>1481.07</v>
      </c>
      <c r="T161">
        <v>99</v>
      </c>
      <c r="U161">
        <v>9792.5</v>
      </c>
      <c r="V161">
        <v>1072.94</v>
      </c>
      <c r="W161">
        <v>8719.56</v>
      </c>
      <c r="X161">
        <v>4856.24</v>
      </c>
      <c r="Y161" t="s">
        <v>56</v>
      </c>
      <c r="Z161">
        <v>8886.42</v>
      </c>
      <c r="AA161">
        <v>1280.4599999999991</v>
      </c>
    </row>
    <row r="162" spans="1:27" x14ac:dyDescent="0.3">
      <c r="A162" t="s">
        <v>537</v>
      </c>
      <c r="B162" s="1">
        <v>45089</v>
      </c>
      <c r="C162" t="s">
        <v>524</v>
      </c>
      <c r="D162" t="s">
        <v>27</v>
      </c>
      <c r="E162">
        <v>1</v>
      </c>
      <c r="F162" t="s">
        <v>90</v>
      </c>
      <c r="G162">
        <v>10</v>
      </c>
      <c r="H162" t="s">
        <v>525</v>
      </c>
      <c r="I162" t="s">
        <v>80</v>
      </c>
      <c r="J162">
        <v>31</v>
      </c>
      <c r="K162" t="s">
        <v>65</v>
      </c>
      <c r="L162" t="s">
        <v>108</v>
      </c>
      <c r="M162" s="1">
        <v>45389</v>
      </c>
      <c r="N162" t="s">
        <v>44</v>
      </c>
      <c r="O162" t="s">
        <v>34</v>
      </c>
      <c r="P162" t="s">
        <v>35</v>
      </c>
      <c r="Q162" t="s">
        <v>36</v>
      </c>
      <c r="R162">
        <v>4318.8599999999997</v>
      </c>
      <c r="S162">
        <v>4880.6400000000003</v>
      </c>
      <c r="T162">
        <v>149</v>
      </c>
      <c r="U162">
        <v>6924.27</v>
      </c>
      <c r="V162">
        <v>1231.32</v>
      </c>
      <c r="W162">
        <v>5692.95</v>
      </c>
      <c r="X162">
        <v>1012.95</v>
      </c>
      <c r="Y162" t="s">
        <v>47</v>
      </c>
      <c r="Z162">
        <v>4880.6400000000003</v>
      </c>
      <c r="AA162">
        <v>561.78000000000065</v>
      </c>
    </row>
    <row r="163" spans="1:27" x14ac:dyDescent="0.3">
      <c r="A163" t="s">
        <v>538</v>
      </c>
      <c r="B163" s="1">
        <v>45286</v>
      </c>
      <c r="C163" t="s">
        <v>539</v>
      </c>
      <c r="D163" t="s">
        <v>219</v>
      </c>
      <c r="E163">
        <v>6</v>
      </c>
      <c r="F163" t="s">
        <v>90</v>
      </c>
      <c r="G163">
        <v>21</v>
      </c>
      <c r="H163" t="s">
        <v>540</v>
      </c>
      <c r="I163" t="s">
        <v>80</v>
      </c>
      <c r="J163">
        <v>46</v>
      </c>
      <c r="K163" t="s">
        <v>92</v>
      </c>
      <c r="L163" t="s">
        <v>43</v>
      </c>
      <c r="M163" s="1">
        <v>45081</v>
      </c>
      <c r="N163" t="s">
        <v>54</v>
      </c>
      <c r="O163" t="s">
        <v>221</v>
      </c>
      <c r="P163" t="s">
        <v>110</v>
      </c>
      <c r="Q163" t="s">
        <v>46</v>
      </c>
      <c r="R163">
        <v>2704.31</v>
      </c>
      <c r="S163">
        <v>4105</v>
      </c>
      <c r="T163">
        <v>48</v>
      </c>
      <c r="U163">
        <v>6546.89</v>
      </c>
      <c r="V163">
        <v>970.53</v>
      </c>
      <c r="W163">
        <v>5576.36</v>
      </c>
      <c r="X163">
        <v>4000.2</v>
      </c>
      <c r="Y163" t="s">
        <v>47</v>
      </c>
      <c r="Z163">
        <v>24630</v>
      </c>
      <c r="AA163">
        <v>8404.14</v>
      </c>
    </row>
    <row r="164" spans="1:27" x14ac:dyDescent="0.3">
      <c r="A164" t="s">
        <v>541</v>
      </c>
      <c r="B164" s="1">
        <v>45053</v>
      </c>
      <c r="C164" t="s">
        <v>353</v>
      </c>
      <c r="D164" t="s">
        <v>153</v>
      </c>
      <c r="E164">
        <v>1</v>
      </c>
      <c r="F164" t="s">
        <v>90</v>
      </c>
      <c r="G164">
        <v>3</v>
      </c>
      <c r="H164" t="s">
        <v>355</v>
      </c>
      <c r="I164" t="s">
        <v>80</v>
      </c>
      <c r="J164">
        <v>28</v>
      </c>
      <c r="K164" t="s">
        <v>42</v>
      </c>
      <c r="L164" t="s">
        <v>43</v>
      </c>
      <c r="M164" s="1">
        <v>44997</v>
      </c>
      <c r="N164" t="s">
        <v>33</v>
      </c>
      <c r="O164" t="s">
        <v>156</v>
      </c>
      <c r="P164" t="s">
        <v>35</v>
      </c>
      <c r="Q164" t="s">
        <v>36</v>
      </c>
      <c r="R164">
        <v>2340.46</v>
      </c>
      <c r="S164">
        <v>2600.46</v>
      </c>
      <c r="T164">
        <v>245</v>
      </c>
      <c r="U164">
        <v>14905.85</v>
      </c>
      <c r="V164">
        <v>1195.1199999999999</v>
      </c>
      <c r="W164">
        <v>13710.73</v>
      </c>
      <c r="X164">
        <v>4258.3100000000004</v>
      </c>
      <c r="Y164" t="s">
        <v>56</v>
      </c>
      <c r="Z164">
        <v>2600.46</v>
      </c>
      <c r="AA164">
        <v>260</v>
      </c>
    </row>
    <row r="165" spans="1:27" x14ac:dyDescent="0.3">
      <c r="A165" t="s">
        <v>542</v>
      </c>
      <c r="B165" s="1">
        <v>45239</v>
      </c>
      <c r="C165" t="s">
        <v>368</v>
      </c>
      <c r="D165" t="s">
        <v>354</v>
      </c>
      <c r="E165">
        <v>4</v>
      </c>
      <c r="F165" t="s">
        <v>78</v>
      </c>
      <c r="G165">
        <v>18</v>
      </c>
      <c r="H165" t="s">
        <v>369</v>
      </c>
      <c r="I165" t="s">
        <v>80</v>
      </c>
      <c r="J165">
        <v>30</v>
      </c>
      <c r="K165" t="s">
        <v>73</v>
      </c>
      <c r="L165" t="s">
        <v>108</v>
      </c>
      <c r="M165" s="1">
        <v>44835</v>
      </c>
      <c r="N165" t="s">
        <v>54</v>
      </c>
      <c r="O165" t="s">
        <v>356</v>
      </c>
      <c r="P165" t="s">
        <v>68</v>
      </c>
      <c r="Q165" t="s">
        <v>120</v>
      </c>
      <c r="R165">
        <v>3959.29</v>
      </c>
      <c r="S165">
        <v>5340.73</v>
      </c>
      <c r="T165">
        <v>91</v>
      </c>
      <c r="U165">
        <v>7227.94</v>
      </c>
      <c r="V165">
        <v>1337.32</v>
      </c>
      <c r="W165">
        <v>5890.62</v>
      </c>
      <c r="X165">
        <v>1475.02</v>
      </c>
      <c r="Y165" t="s">
        <v>83</v>
      </c>
      <c r="Z165">
        <v>21362.92</v>
      </c>
      <c r="AA165">
        <v>5525.7599999999984</v>
      </c>
    </row>
    <row r="166" spans="1:27" x14ac:dyDescent="0.3">
      <c r="A166" t="s">
        <v>543</v>
      </c>
      <c r="B166" s="1">
        <v>45232</v>
      </c>
      <c r="C166" t="s">
        <v>544</v>
      </c>
      <c r="D166" t="s">
        <v>190</v>
      </c>
      <c r="E166">
        <v>3</v>
      </c>
      <c r="F166" t="s">
        <v>90</v>
      </c>
      <c r="G166">
        <v>12</v>
      </c>
      <c r="H166" t="s">
        <v>545</v>
      </c>
      <c r="I166" t="s">
        <v>30</v>
      </c>
      <c r="J166">
        <v>24</v>
      </c>
      <c r="K166" t="s">
        <v>60</v>
      </c>
      <c r="L166" t="s">
        <v>32</v>
      </c>
      <c r="M166" s="1">
        <v>44885</v>
      </c>
      <c r="N166" t="s">
        <v>33</v>
      </c>
      <c r="O166" t="s">
        <v>191</v>
      </c>
      <c r="P166" t="s">
        <v>68</v>
      </c>
      <c r="Q166" t="s">
        <v>120</v>
      </c>
      <c r="R166">
        <v>2412.25</v>
      </c>
      <c r="S166">
        <v>3672.51</v>
      </c>
      <c r="T166">
        <v>100</v>
      </c>
      <c r="U166">
        <v>11565.05</v>
      </c>
      <c r="V166">
        <v>2455.44</v>
      </c>
      <c r="W166">
        <v>9109.61</v>
      </c>
      <c r="X166">
        <v>4976.93</v>
      </c>
      <c r="Y166" t="s">
        <v>37</v>
      </c>
      <c r="Z166">
        <v>11017.53</v>
      </c>
      <c r="AA166">
        <v>3780.7800000000007</v>
      </c>
    </row>
    <row r="167" spans="1:27" x14ac:dyDescent="0.3">
      <c r="A167" t="s">
        <v>546</v>
      </c>
      <c r="B167" s="1">
        <v>45116</v>
      </c>
      <c r="C167" t="s">
        <v>456</v>
      </c>
      <c r="D167" t="s">
        <v>276</v>
      </c>
      <c r="E167">
        <v>3</v>
      </c>
      <c r="F167" t="s">
        <v>51</v>
      </c>
      <c r="G167">
        <v>2</v>
      </c>
      <c r="H167" t="s">
        <v>457</v>
      </c>
      <c r="I167" t="s">
        <v>30</v>
      </c>
      <c r="J167">
        <v>30</v>
      </c>
      <c r="K167" t="s">
        <v>31</v>
      </c>
      <c r="L167" t="s">
        <v>108</v>
      </c>
      <c r="M167" s="1">
        <v>45281</v>
      </c>
      <c r="N167" t="s">
        <v>54</v>
      </c>
      <c r="O167" t="s">
        <v>278</v>
      </c>
      <c r="P167" t="s">
        <v>35</v>
      </c>
      <c r="Q167" t="s">
        <v>111</v>
      </c>
      <c r="R167">
        <v>3479.48</v>
      </c>
      <c r="S167">
        <v>5364.57</v>
      </c>
      <c r="T167">
        <v>41</v>
      </c>
      <c r="U167">
        <v>19086.25</v>
      </c>
      <c r="V167">
        <v>2406.62</v>
      </c>
      <c r="W167">
        <v>16679.63</v>
      </c>
      <c r="X167">
        <v>3395.89</v>
      </c>
      <c r="Y167" t="s">
        <v>47</v>
      </c>
      <c r="Z167">
        <v>16093.71</v>
      </c>
      <c r="AA167">
        <v>5655.2699999999986</v>
      </c>
    </row>
    <row r="168" spans="1:27" x14ac:dyDescent="0.3">
      <c r="A168" t="s">
        <v>547</v>
      </c>
      <c r="B168" s="1">
        <v>45076</v>
      </c>
      <c r="C168" t="s">
        <v>548</v>
      </c>
      <c r="D168" t="s">
        <v>197</v>
      </c>
      <c r="E168">
        <v>6</v>
      </c>
      <c r="F168" t="s">
        <v>28</v>
      </c>
      <c r="G168">
        <v>23</v>
      </c>
      <c r="H168" t="s">
        <v>549</v>
      </c>
      <c r="I168" t="s">
        <v>80</v>
      </c>
      <c r="J168">
        <v>50</v>
      </c>
      <c r="K168" t="s">
        <v>92</v>
      </c>
      <c r="L168" t="s">
        <v>66</v>
      </c>
      <c r="M168" s="1">
        <v>44953</v>
      </c>
      <c r="N168" t="s">
        <v>44</v>
      </c>
      <c r="O168" t="s">
        <v>199</v>
      </c>
      <c r="P168" t="s">
        <v>35</v>
      </c>
      <c r="Q168" t="s">
        <v>46</v>
      </c>
      <c r="R168">
        <v>1612.7</v>
      </c>
      <c r="S168">
        <v>1932.63</v>
      </c>
      <c r="T168">
        <v>278</v>
      </c>
      <c r="U168">
        <v>6393.71</v>
      </c>
      <c r="V168">
        <v>329.4</v>
      </c>
      <c r="W168">
        <v>6064.31</v>
      </c>
      <c r="X168">
        <v>3546.2</v>
      </c>
      <c r="Y168" t="s">
        <v>47</v>
      </c>
      <c r="Z168">
        <v>11595.78</v>
      </c>
      <c r="AA168">
        <v>1919.5800000000004</v>
      </c>
    </row>
    <row r="169" spans="1:27" x14ac:dyDescent="0.3">
      <c r="A169" t="s">
        <v>550</v>
      </c>
      <c r="B169" s="1">
        <v>45088</v>
      </c>
      <c r="C169" t="s">
        <v>551</v>
      </c>
      <c r="D169" t="s">
        <v>329</v>
      </c>
      <c r="E169">
        <v>6</v>
      </c>
      <c r="F169" t="s">
        <v>90</v>
      </c>
      <c r="G169">
        <v>14</v>
      </c>
      <c r="H169" t="s">
        <v>552</v>
      </c>
      <c r="I169" t="s">
        <v>80</v>
      </c>
      <c r="J169">
        <v>26</v>
      </c>
      <c r="K169" t="s">
        <v>42</v>
      </c>
      <c r="L169" t="s">
        <v>108</v>
      </c>
      <c r="M169" s="1">
        <v>45433</v>
      </c>
      <c r="N169" t="s">
        <v>54</v>
      </c>
      <c r="O169" t="s">
        <v>330</v>
      </c>
      <c r="P169" t="s">
        <v>94</v>
      </c>
      <c r="Q169" t="s">
        <v>46</v>
      </c>
      <c r="R169">
        <v>3358.26</v>
      </c>
      <c r="S169">
        <v>4345.1099999999997</v>
      </c>
      <c r="T169">
        <v>179</v>
      </c>
      <c r="U169">
        <v>18395.93</v>
      </c>
      <c r="V169">
        <v>2898.84</v>
      </c>
      <c r="W169">
        <v>15497.09</v>
      </c>
      <c r="X169">
        <v>1511.23</v>
      </c>
      <c r="Y169" t="s">
        <v>56</v>
      </c>
      <c r="Z169">
        <v>26070.659999999996</v>
      </c>
      <c r="AA169">
        <v>5921.0999999999967</v>
      </c>
    </row>
    <row r="170" spans="1:27" x14ac:dyDescent="0.3">
      <c r="A170" t="s">
        <v>553</v>
      </c>
      <c r="B170" s="1">
        <v>45155</v>
      </c>
      <c r="C170" t="s">
        <v>554</v>
      </c>
      <c r="D170" t="s">
        <v>183</v>
      </c>
      <c r="E170">
        <v>1</v>
      </c>
      <c r="F170" t="s">
        <v>28</v>
      </c>
      <c r="G170">
        <v>19</v>
      </c>
      <c r="H170" t="s">
        <v>555</v>
      </c>
      <c r="I170" t="s">
        <v>80</v>
      </c>
      <c r="J170">
        <v>33</v>
      </c>
      <c r="K170" t="s">
        <v>31</v>
      </c>
      <c r="L170" t="s">
        <v>108</v>
      </c>
      <c r="M170" s="1">
        <v>45546</v>
      </c>
      <c r="N170" t="s">
        <v>54</v>
      </c>
      <c r="O170" t="s">
        <v>185</v>
      </c>
      <c r="P170" t="s">
        <v>110</v>
      </c>
      <c r="Q170" t="s">
        <v>36</v>
      </c>
      <c r="R170">
        <v>1358.27</v>
      </c>
      <c r="S170">
        <v>1886.86</v>
      </c>
      <c r="T170">
        <v>153</v>
      </c>
      <c r="U170">
        <v>11762.14</v>
      </c>
      <c r="V170">
        <v>2458.3000000000002</v>
      </c>
      <c r="W170">
        <v>9303.84</v>
      </c>
      <c r="X170">
        <v>3167.26</v>
      </c>
      <c r="Y170" t="s">
        <v>37</v>
      </c>
      <c r="Z170">
        <v>1886.86</v>
      </c>
      <c r="AA170">
        <v>528.58999999999992</v>
      </c>
    </row>
    <row r="171" spans="1:27" x14ac:dyDescent="0.3">
      <c r="A171" t="s">
        <v>556</v>
      </c>
      <c r="B171" s="1">
        <v>44934</v>
      </c>
      <c r="C171" t="s">
        <v>557</v>
      </c>
      <c r="D171" t="s">
        <v>183</v>
      </c>
      <c r="E171">
        <v>4</v>
      </c>
      <c r="F171" t="s">
        <v>51</v>
      </c>
      <c r="G171">
        <v>20</v>
      </c>
      <c r="H171" t="s">
        <v>558</v>
      </c>
      <c r="I171" t="s">
        <v>80</v>
      </c>
      <c r="J171">
        <v>58</v>
      </c>
      <c r="K171" t="s">
        <v>92</v>
      </c>
      <c r="L171" t="s">
        <v>108</v>
      </c>
      <c r="M171" s="1">
        <v>45702</v>
      </c>
      <c r="N171" t="s">
        <v>44</v>
      </c>
      <c r="O171" t="s">
        <v>185</v>
      </c>
      <c r="P171" t="s">
        <v>110</v>
      </c>
      <c r="Q171" t="s">
        <v>36</v>
      </c>
      <c r="R171">
        <v>1358.27</v>
      </c>
      <c r="S171">
        <v>1886.86</v>
      </c>
      <c r="T171">
        <v>153</v>
      </c>
      <c r="U171">
        <v>3528.41</v>
      </c>
      <c r="V171">
        <v>215.86</v>
      </c>
      <c r="W171">
        <v>3312.55</v>
      </c>
      <c r="X171">
        <v>1496.12</v>
      </c>
      <c r="Y171" t="s">
        <v>56</v>
      </c>
      <c r="Z171">
        <v>7547.44</v>
      </c>
      <c r="AA171">
        <v>2114.3599999999997</v>
      </c>
    </row>
    <row r="172" spans="1:27" x14ac:dyDescent="0.3">
      <c r="A172" t="s">
        <v>559</v>
      </c>
      <c r="B172" s="1">
        <v>45079</v>
      </c>
      <c r="C172" t="s">
        <v>368</v>
      </c>
      <c r="D172" t="s">
        <v>106</v>
      </c>
      <c r="E172">
        <v>6</v>
      </c>
      <c r="F172" t="s">
        <v>28</v>
      </c>
      <c r="G172">
        <v>10</v>
      </c>
      <c r="H172" t="s">
        <v>369</v>
      </c>
      <c r="I172" t="s">
        <v>80</v>
      </c>
      <c r="J172">
        <v>30</v>
      </c>
      <c r="K172" t="s">
        <v>73</v>
      </c>
      <c r="L172" t="s">
        <v>108</v>
      </c>
      <c r="M172" s="1">
        <v>44835</v>
      </c>
      <c r="N172" t="s">
        <v>54</v>
      </c>
      <c r="O172" t="s">
        <v>109</v>
      </c>
      <c r="P172" t="s">
        <v>110</v>
      </c>
      <c r="Q172" t="s">
        <v>111</v>
      </c>
      <c r="R172">
        <v>1622.17</v>
      </c>
      <c r="S172">
        <v>1993.72</v>
      </c>
      <c r="T172">
        <v>262</v>
      </c>
      <c r="U172">
        <v>3611.19</v>
      </c>
      <c r="V172">
        <v>441.08</v>
      </c>
      <c r="W172">
        <v>3170.11</v>
      </c>
      <c r="X172">
        <v>4927.21</v>
      </c>
      <c r="Y172" t="s">
        <v>56</v>
      </c>
      <c r="Z172">
        <v>11962.32</v>
      </c>
      <c r="AA172">
        <v>2229.2999999999997</v>
      </c>
    </row>
    <row r="173" spans="1:27" x14ac:dyDescent="0.3">
      <c r="A173" t="s">
        <v>560</v>
      </c>
      <c r="B173" s="1">
        <v>45289</v>
      </c>
      <c r="C173" t="s">
        <v>535</v>
      </c>
      <c r="D173" t="s">
        <v>335</v>
      </c>
      <c r="E173">
        <v>3</v>
      </c>
      <c r="F173" t="s">
        <v>51</v>
      </c>
      <c r="G173">
        <v>5</v>
      </c>
      <c r="H173" t="s">
        <v>536</v>
      </c>
      <c r="I173" t="s">
        <v>80</v>
      </c>
      <c r="J173">
        <v>30</v>
      </c>
      <c r="K173" t="s">
        <v>42</v>
      </c>
      <c r="L173" t="s">
        <v>81</v>
      </c>
      <c r="M173" s="1">
        <v>44871</v>
      </c>
      <c r="N173" t="s">
        <v>44</v>
      </c>
      <c r="O173" t="s">
        <v>336</v>
      </c>
      <c r="P173" t="s">
        <v>68</v>
      </c>
      <c r="Q173" t="s">
        <v>36</v>
      </c>
      <c r="R173">
        <v>4727.87</v>
      </c>
      <c r="S173">
        <v>6561</v>
      </c>
      <c r="T173">
        <v>290</v>
      </c>
      <c r="U173">
        <v>17991.060000000001</v>
      </c>
      <c r="V173">
        <v>1786.87</v>
      </c>
      <c r="W173">
        <v>16204.19</v>
      </c>
      <c r="X173">
        <v>1308.69</v>
      </c>
      <c r="Y173" t="s">
        <v>83</v>
      </c>
      <c r="Z173">
        <v>19683</v>
      </c>
      <c r="AA173">
        <v>5499.39</v>
      </c>
    </row>
    <row r="174" spans="1:27" x14ac:dyDescent="0.3">
      <c r="A174" t="s">
        <v>561</v>
      </c>
      <c r="B174" s="1">
        <v>45019</v>
      </c>
      <c r="C174" t="s">
        <v>562</v>
      </c>
      <c r="D174" t="s">
        <v>399</v>
      </c>
      <c r="E174">
        <v>2</v>
      </c>
      <c r="F174" t="s">
        <v>78</v>
      </c>
      <c r="G174">
        <v>5</v>
      </c>
      <c r="H174" t="s">
        <v>563</v>
      </c>
      <c r="I174" t="s">
        <v>30</v>
      </c>
      <c r="J174">
        <v>46</v>
      </c>
      <c r="K174" t="s">
        <v>31</v>
      </c>
      <c r="L174" t="s">
        <v>53</v>
      </c>
      <c r="M174" s="1">
        <v>45409</v>
      </c>
      <c r="N174" t="s">
        <v>44</v>
      </c>
      <c r="O174" t="s">
        <v>400</v>
      </c>
      <c r="P174" t="s">
        <v>94</v>
      </c>
      <c r="Q174" t="s">
        <v>46</v>
      </c>
      <c r="R174">
        <v>828.79</v>
      </c>
      <c r="S174">
        <v>1227.1300000000001</v>
      </c>
      <c r="T174">
        <v>228</v>
      </c>
      <c r="U174">
        <v>15336.89</v>
      </c>
      <c r="V174">
        <v>648.27</v>
      </c>
      <c r="W174">
        <v>14688.62</v>
      </c>
      <c r="X174">
        <v>1909.98</v>
      </c>
      <c r="Y174" t="s">
        <v>83</v>
      </c>
      <c r="Z174">
        <v>2454.2600000000002</v>
      </c>
      <c r="AA174">
        <v>796.68000000000029</v>
      </c>
    </row>
    <row r="175" spans="1:27" x14ac:dyDescent="0.3">
      <c r="A175" t="s">
        <v>564</v>
      </c>
      <c r="B175" s="1">
        <v>45174</v>
      </c>
      <c r="C175" t="s">
        <v>565</v>
      </c>
      <c r="D175" t="s">
        <v>197</v>
      </c>
      <c r="E175">
        <v>5</v>
      </c>
      <c r="F175" t="s">
        <v>51</v>
      </c>
      <c r="G175">
        <v>21</v>
      </c>
      <c r="H175" t="s">
        <v>566</v>
      </c>
      <c r="I175" t="s">
        <v>80</v>
      </c>
      <c r="J175">
        <v>30</v>
      </c>
      <c r="K175" t="s">
        <v>42</v>
      </c>
      <c r="L175" t="s">
        <v>32</v>
      </c>
      <c r="M175" s="1">
        <v>45608</v>
      </c>
      <c r="N175" t="s">
        <v>54</v>
      </c>
      <c r="O175" t="s">
        <v>199</v>
      </c>
      <c r="P175" t="s">
        <v>35</v>
      </c>
      <c r="Q175" t="s">
        <v>46</v>
      </c>
      <c r="R175">
        <v>1612.7</v>
      </c>
      <c r="S175">
        <v>1932.63</v>
      </c>
      <c r="T175">
        <v>278</v>
      </c>
      <c r="U175">
        <v>12839.01</v>
      </c>
      <c r="V175">
        <v>419.68</v>
      </c>
      <c r="W175">
        <v>12419.33</v>
      </c>
      <c r="X175">
        <v>4141.5600000000004</v>
      </c>
      <c r="Y175" t="s">
        <v>47</v>
      </c>
      <c r="Z175">
        <v>9663.1500000000015</v>
      </c>
      <c r="AA175">
        <v>1599.6500000000003</v>
      </c>
    </row>
    <row r="176" spans="1:27" x14ac:dyDescent="0.3">
      <c r="A176" t="s">
        <v>567</v>
      </c>
      <c r="B176" s="1">
        <v>45061</v>
      </c>
      <c r="C176" t="s">
        <v>568</v>
      </c>
      <c r="D176" t="s">
        <v>202</v>
      </c>
      <c r="E176">
        <v>6</v>
      </c>
      <c r="F176" t="s">
        <v>90</v>
      </c>
      <c r="G176">
        <v>19</v>
      </c>
      <c r="H176" t="s">
        <v>569</v>
      </c>
      <c r="I176" t="s">
        <v>30</v>
      </c>
      <c r="J176">
        <v>51</v>
      </c>
      <c r="K176" t="s">
        <v>155</v>
      </c>
      <c r="L176" t="s">
        <v>43</v>
      </c>
      <c r="M176" s="1">
        <v>45056</v>
      </c>
      <c r="N176" t="s">
        <v>33</v>
      </c>
      <c r="O176" t="s">
        <v>204</v>
      </c>
      <c r="P176" t="s">
        <v>110</v>
      </c>
      <c r="Q176" t="s">
        <v>111</v>
      </c>
      <c r="R176">
        <v>830.87</v>
      </c>
      <c r="S176">
        <v>1283.0999999999999</v>
      </c>
      <c r="T176">
        <v>46</v>
      </c>
      <c r="U176">
        <v>18259.490000000002</v>
      </c>
      <c r="V176">
        <v>2225.6799999999998</v>
      </c>
      <c r="W176">
        <v>16033.81</v>
      </c>
      <c r="X176">
        <v>428.99</v>
      </c>
      <c r="Y176" t="s">
        <v>83</v>
      </c>
      <c r="Z176">
        <v>7698.5999999999995</v>
      </c>
      <c r="AA176">
        <v>2713.3799999999992</v>
      </c>
    </row>
    <row r="177" spans="1:27" x14ac:dyDescent="0.3">
      <c r="A177" t="s">
        <v>570</v>
      </c>
      <c r="B177" s="1">
        <v>45072</v>
      </c>
      <c r="C177" t="s">
        <v>571</v>
      </c>
      <c r="D177" t="s">
        <v>134</v>
      </c>
      <c r="E177">
        <v>3</v>
      </c>
      <c r="F177" t="s">
        <v>51</v>
      </c>
      <c r="G177">
        <v>17</v>
      </c>
      <c r="H177" t="s">
        <v>572</v>
      </c>
      <c r="I177" t="s">
        <v>80</v>
      </c>
      <c r="J177">
        <v>45</v>
      </c>
      <c r="K177" t="s">
        <v>73</v>
      </c>
      <c r="L177" t="s">
        <v>53</v>
      </c>
      <c r="M177" s="1">
        <v>45046</v>
      </c>
      <c r="N177" t="s">
        <v>33</v>
      </c>
      <c r="O177" t="s">
        <v>136</v>
      </c>
      <c r="P177" t="s">
        <v>68</v>
      </c>
      <c r="Q177" t="s">
        <v>46</v>
      </c>
      <c r="R177">
        <v>3023.88</v>
      </c>
      <c r="S177">
        <v>3903.42</v>
      </c>
      <c r="T177">
        <v>217</v>
      </c>
      <c r="U177">
        <v>4442.88</v>
      </c>
      <c r="V177">
        <v>283.35000000000002</v>
      </c>
      <c r="W177">
        <v>4159.53</v>
      </c>
      <c r="X177">
        <v>2404.12</v>
      </c>
      <c r="Y177" t="s">
        <v>47</v>
      </c>
      <c r="Z177">
        <v>11710.26</v>
      </c>
      <c r="AA177">
        <v>2638.62</v>
      </c>
    </row>
    <row r="178" spans="1:27" x14ac:dyDescent="0.3">
      <c r="A178" t="s">
        <v>573</v>
      </c>
      <c r="B178" s="1">
        <v>45268</v>
      </c>
      <c r="C178" t="s">
        <v>574</v>
      </c>
      <c r="D178" t="s">
        <v>302</v>
      </c>
      <c r="E178">
        <v>2</v>
      </c>
      <c r="F178" t="s">
        <v>28</v>
      </c>
      <c r="G178">
        <v>18</v>
      </c>
      <c r="H178" t="s">
        <v>575</v>
      </c>
      <c r="I178" t="s">
        <v>80</v>
      </c>
      <c r="J178">
        <v>26</v>
      </c>
      <c r="K178" t="s">
        <v>155</v>
      </c>
      <c r="L178" t="s">
        <v>32</v>
      </c>
      <c r="M178" s="1">
        <v>44848</v>
      </c>
      <c r="N178" t="s">
        <v>54</v>
      </c>
      <c r="O178" t="s">
        <v>304</v>
      </c>
      <c r="P178" t="s">
        <v>68</v>
      </c>
      <c r="Q178" t="s">
        <v>120</v>
      </c>
      <c r="R178">
        <v>1858.72</v>
      </c>
      <c r="S178">
        <v>2175.88</v>
      </c>
      <c r="T178">
        <v>272</v>
      </c>
      <c r="U178">
        <v>5005.34</v>
      </c>
      <c r="V178">
        <v>231.19</v>
      </c>
      <c r="W178">
        <v>4774.1499999999996</v>
      </c>
      <c r="X178">
        <v>180.24</v>
      </c>
      <c r="Y178" t="s">
        <v>56</v>
      </c>
      <c r="Z178">
        <v>4351.76</v>
      </c>
      <c r="AA178">
        <v>634.32000000000016</v>
      </c>
    </row>
    <row r="179" spans="1:27" x14ac:dyDescent="0.3">
      <c r="A179" t="s">
        <v>576</v>
      </c>
      <c r="B179" s="1">
        <v>45264</v>
      </c>
      <c r="C179" t="s">
        <v>467</v>
      </c>
      <c r="D179" t="s">
        <v>322</v>
      </c>
      <c r="E179">
        <v>5</v>
      </c>
      <c r="F179" t="s">
        <v>28</v>
      </c>
      <c r="G179">
        <v>21</v>
      </c>
      <c r="H179" t="s">
        <v>468</v>
      </c>
      <c r="I179" t="s">
        <v>30</v>
      </c>
      <c r="J179">
        <v>46</v>
      </c>
      <c r="K179" t="s">
        <v>155</v>
      </c>
      <c r="L179" t="s">
        <v>108</v>
      </c>
      <c r="M179" s="1">
        <v>45233</v>
      </c>
      <c r="N179" t="s">
        <v>44</v>
      </c>
      <c r="O179" t="s">
        <v>324</v>
      </c>
      <c r="P179" t="s">
        <v>35</v>
      </c>
      <c r="Q179" t="s">
        <v>111</v>
      </c>
      <c r="R179">
        <v>3696.72</v>
      </c>
      <c r="S179">
        <v>4397.13</v>
      </c>
      <c r="T179">
        <v>92</v>
      </c>
      <c r="U179">
        <v>7972.15</v>
      </c>
      <c r="V179">
        <v>1165.72</v>
      </c>
      <c r="W179">
        <v>6806.43</v>
      </c>
      <c r="X179">
        <v>2534.9</v>
      </c>
      <c r="Y179" t="s">
        <v>47</v>
      </c>
      <c r="Z179">
        <v>21985.65</v>
      </c>
      <c r="AA179">
        <v>3502.0500000000015</v>
      </c>
    </row>
    <row r="180" spans="1:27" x14ac:dyDescent="0.3">
      <c r="A180" t="s">
        <v>577</v>
      </c>
      <c r="B180" s="1">
        <v>45126</v>
      </c>
      <c r="C180" t="s">
        <v>578</v>
      </c>
      <c r="D180" t="s">
        <v>290</v>
      </c>
      <c r="E180">
        <v>5</v>
      </c>
      <c r="F180" t="s">
        <v>90</v>
      </c>
      <c r="G180">
        <v>10</v>
      </c>
      <c r="H180" t="s">
        <v>579</v>
      </c>
      <c r="I180" t="s">
        <v>80</v>
      </c>
      <c r="J180">
        <v>26</v>
      </c>
      <c r="K180" t="s">
        <v>53</v>
      </c>
      <c r="L180" t="s">
        <v>66</v>
      </c>
      <c r="M180" s="1">
        <v>45272</v>
      </c>
      <c r="N180" t="s">
        <v>33</v>
      </c>
      <c r="O180" t="s">
        <v>291</v>
      </c>
      <c r="P180" t="s">
        <v>68</v>
      </c>
      <c r="Q180" t="s">
        <v>111</v>
      </c>
      <c r="R180">
        <v>2649.82</v>
      </c>
      <c r="S180">
        <v>3522.16</v>
      </c>
      <c r="T180">
        <v>205</v>
      </c>
      <c r="U180">
        <v>9069.43</v>
      </c>
      <c r="V180">
        <v>1163.5999999999999</v>
      </c>
      <c r="W180">
        <v>7905.83</v>
      </c>
      <c r="X180">
        <v>2599.39</v>
      </c>
      <c r="Y180" t="s">
        <v>47</v>
      </c>
      <c r="Z180">
        <v>17610.8</v>
      </c>
      <c r="AA180">
        <v>4361.6999999999989</v>
      </c>
    </row>
    <row r="181" spans="1:27" x14ac:dyDescent="0.3">
      <c r="A181" t="s">
        <v>580</v>
      </c>
      <c r="B181" s="1">
        <v>44970</v>
      </c>
      <c r="C181" t="s">
        <v>551</v>
      </c>
      <c r="D181" t="s">
        <v>163</v>
      </c>
      <c r="E181">
        <v>3</v>
      </c>
      <c r="F181" t="s">
        <v>78</v>
      </c>
      <c r="G181">
        <v>16</v>
      </c>
      <c r="H181" t="s">
        <v>552</v>
      </c>
      <c r="I181" t="s">
        <v>80</v>
      </c>
      <c r="J181">
        <v>26</v>
      </c>
      <c r="K181" t="s">
        <v>42</v>
      </c>
      <c r="L181" t="s">
        <v>108</v>
      </c>
      <c r="M181" s="1">
        <v>45433</v>
      </c>
      <c r="N181" t="s">
        <v>54</v>
      </c>
      <c r="O181" t="s">
        <v>165</v>
      </c>
      <c r="P181" t="s">
        <v>94</v>
      </c>
      <c r="Q181" t="s">
        <v>120</v>
      </c>
      <c r="R181">
        <v>1733.92</v>
      </c>
      <c r="S181">
        <v>2099.92</v>
      </c>
      <c r="T181">
        <v>175</v>
      </c>
      <c r="U181">
        <v>6967.2</v>
      </c>
      <c r="V181">
        <v>148.28</v>
      </c>
      <c r="W181">
        <v>6818.92</v>
      </c>
      <c r="X181">
        <v>274.8</v>
      </c>
      <c r="Y181" t="s">
        <v>83</v>
      </c>
      <c r="Z181">
        <v>6299.76</v>
      </c>
      <c r="AA181">
        <v>1098</v>
      </c>
    </row>
    <row r="182" spans="1:27" x14ac:dyDescent="0.3">
      <c r="A182" t="s">
        <v>581</v>
      </c>
      <c r="B182" s="1">
        <v>45064</v>
      </c>
      <c r="C182" t="s">
        <v>582</v>
      </c>
      <c r="D182" t="s">
        <v>102</v>
      </c>
      <c r="E182">
        <v>3</v>
      </c>
      <c r="F182" t="s">
        <v>78</v>
      </c>
      <c r="G182">
        <v>18</v>
      </c>
      <c r="H182" t="s">
        <v>583</v>
      </c>
      <c r="I182" t="s">
        <v>80</v>
      </c>
      <c r="J182">
        <v>39</v>
      </c>
      <c r="K182" t="s">
        <v>60</v>
      </c>
      <c r="L182" t="s">
        <v>43</v>
      </c>
      <c r="M182" s="1">
        <v>45402</v>
      </c>
      <c r="N182" t="s">
        <v>44</v>
      </c>
      <c r="O182" t="s">
        <v>103</v>
      </c>
      <c r="P182" t="s">
        <v>94</v>
      </c>
      <c r="Q182" t="s">
        <v>46</v>
      </c>
      <c r="R182">
        <v>4398.43</v>
      </c>
      <c r="S182">
        <v>6683.28</v>
      </c>
      <c r="T182">
        <v>152</v>
      </c>
      <c r="U182">
        <v>14660.91</v>
      </c>
      <c r="V182">
        <v>1985.3</v>
      </c>
      <c r="W182">
        <v>12675.61</v>
      </c>
      <c r="X182">
        <v>3539.82</v>
      </c>
      <c r="Y182" t="s">
        <v>56</v>
      </c>
      <c r="Z182">
        <v>20049.84</v>
      </c>
      <c r="AA182">
        <v>6854.5499999999984</v>
      </c>
    </row>
    <row r="183" spans="1:27" x14ac:dyDescent="0.3">
      <c r="A183" t="s">
        <v>584</v>
      </c>
      <c r="B183" s="1">
        <v>45251</v>
      </c>
      <c r="C183" t="s">
        <v>585</v>
      </c>
      <c r="D183" t="s">
        <v>230</v>
      </c>
      <c r="E183">
        <v>4</v>
      </c>
      <c r="F183" t="s">
        <v>90</v>
      </c>
      <c r="G183">
        <v>22</v>
      </c>
      <c r="H183" t="s">
        <v>586</v>
      </c>
      <c r="I183" t="s">
        <v>80</v>
      </c>
      <c r="J183">
        <v>36</v>
      </c>
      <c r="K183" t="s">
        <v>73</v>
      </c>
      <c r="L183" t="s">
        <v>43</v>
      </c>
      <c r="M183" s="1">
        <v>45195</v>
      </c>
      <c r="N183" t="s">
        <v>54</v>
      </c>
      <c r="O183" t="s">
        <v>232</v>
      </c>
      <c r="P183" t="s">
        <v>110</v>
      </c>
      <c r="Q183" t="s">
        <v>46</v>
      </c>
      <c r="R183">
        <v>4570.75</v>
      </c>
      <c r="S183">
        <v>5891.26</v>
      </c>
      <c r="T183">
        <v>285</v>
      </c>
      <c r="U183">
        <v>10629.91</v>
      </c>
      <c r="V183">
        <v>1295.42</v>
      </c>
      <c r="W183">
        <v>9334.49</v>
      </c>
      <c r="X183">
        <v>1039.47</v>
      </c>
      <c r="Y183" t="s">
        <v>83</v>
      </c>
      <c r="Z183">
        <v>23565.040000000001</v>
      </c>
      <c r="AA183">
        <v>5282.0400000000009</v>
      </c>
    </row>
    <row r="184" spans="1:27" x14ac:dyDescent="0.3">
      <c r="A184" t="s">
        <v>587</v>
      </c>
      <c r="B184" s="1">
        <v>44947</v>
      </c>
      <c r="C184" t="s">
        <v>588</v>
      </c>
      <c r="D184" t="s">
        <v>399</v>
      </c>
      <c r="E184">
        <v>6</v>
      </c>
      <c r="F184" t="s">
        <v>78</v>
      </c>
      <c r="G184">
        <v>4</v>
      </c>
      <c r="H184" t="s">
        <v>589</v>
      </c>
      <c r="I184" t="s">
        <v>30</v>
      </c>
      <c r="J184">
        <v>27</v>
      </c>
      <c r="K184" t="s">
        <v>42</v>
      </c>
      <c r="L184" t="s">
        <v>43</v>
      </c>
      <c r="M184" s="1">
        <v>44991</v>
      </c>
      <c r="N184" t="s">
        <v>33</v>
      </c>
      <c r="O184" t="s">
        <v>400</v>
      </c>
      <c r="P184" t="s">
        <v>94</v>
      </c>
      <c r="Q184" t="s">
        <v>46</v>
      </c>
      <c r="R184">
        <v>828.79</v>
      </c>
      <c r="S184">
        <v>1227.1300000000001</v>
      </c>
      <c r="T184">
        <v>228</v>
      </c>
      <c r="U184">
        <v>3169.1</v>
      </c>
      <c r="V184">
        <v>755.21</v>
      </c>
      <c r="W184">
        <v>2413.89</v>
      </c>
      <c r="X184">
        <v>4425</v>
      </c>
      <c r="Y184" t="s">
        <v>56</v>
      </c>
      <c r="Z184">
        <v>7362.7800000000007</v>
      </c>
      <c r="AA184">
        <v>2390.0400000000009</v>
      </c>
    </row>
    <row r="185" spans="1:27" x14ac:dyDescent="0.3">
      <c r="A185" t="s">
        <v>590</v>
      </c>
      <c r="B185" s="1">
        <v>45014</v>
      </c>
      <c r="C185" t="s">
        <v>407</v>
      </c>
      <c r="D185" t="s">
        <v>420</v>
      </c>
      <c r="E185">
        <v>2</v>
      </c>
      <c r="F185" t="s">
        <v>28</v>
      </c>
      <c r="G185">
        <v>23</v>
      </c>
      <c r="H185" t="s">
        <v>409</v>
      </c>
      <c r="I185" t="s">
        <v>80</v>
      </c>
      <c r="J185">
        <v>22</v>
      </c>
      <c r="K185" t="s">
        <v>31</v>
      </c>
      <c r="L185" t="s">
        <v>81</v>
      </c>
      <c r="M185" s="1">
        <v>44661</v>
      </c>
      <c r="N185" t="s">
        <v>44</v>
      </c>
      <c r="O185" t="s">
        <v>422</v>
      </c>
      <c r="P185" t="s">
        <v>110</v>
      </c>
      <c r="Q185" t="s">
        <v>46</v>
      </c>
      <c r="R185">
        <v>2369.11</v>
      </c>
      <c r="S185">
        <v>2775.74</v>
      </c>
      <c r="T185">
        <v>21</v>
      </c>
      <c r="U185">
        <v>10523.37</v>
      </c>
      <c r="V185">
        <v>1450.24</v>
      </c>
      <c r="W185">
        <v>9073.1299999999992</v>
      </c>
      <c r="X185">
        <v>3718.21</v>
      </c>
      <c r="Y185" t="s">
        <v>37</v>
      </c>
      <c r="Z185">
        <v>5551.48</v>
      </c>
      <c r="AA185">
        <v>813.25999999999931</v>
      </c>
    </row>
    <row r="186" spans="1:27" x14ac:dyDescent="0.3">
      <c r="A186" t="s">
        <v>591</v>
      </c>
      <c r="B186" s="1">
        <v>44937</v>
      </c>
      <c r="C186" t="s">
        <v>592</v>
      </c>
      <c r="D186" t="s">
        <v>290</v>
      </c>
      <c r="E186">
        <v>2</v>
      </c>
      <c r="F186" t="s">
        <v>28</v>
      </c>
      <c r="G186">
        <v>7</v>
      </c>
      <c r="H186" t="s">
        <v>593</v>
      </c>
      <c r="I186" t="s">
        <v>80</v>
      </c>
      <c r="J186">
        <v>44</v>
      </c>
      <c r="K186" t="s">
        <v>92</v>
      </c>
      <c r="L186" t="s">
        <v>81</v>
      </c>
      <c r="M186" s="1">
        <v>45366</v>
      </c>
      <c r="N186" t="s">
        <v>54</v>
      </c>
      <c r="O186" t="s">
        <v>291</v>
      </c>
      <c r="P186" t="s">
        <v>68</v>
      </c>
      <c r="Q186" t="s">
        <v>111</v>
      </c>
      <c r="R186">
        <v>2649.82</v>
      </c>
      <c r="S186">
        <v>3522.16</v>
      </c>
      <c r="T186">
        <v>205</v>
      </c>
      <c r="U186">
        <v>648.02</v>
      </c>
      <c r="V186">
        <v>116.86</v>
      </c>
      <c r="W186">
        <v>531.16</v>
      </c>
      <c r="X186">
        <v>830.87</v>
      </c>
      <c r="Y186" t="s">
        <v>47</v>
      </c>
      <c r="Z186">
        <v>7044.32</v>
      </c>
      <c r="AA186">
        <v>1744.6799999999994</v>
      </c>
    </row>
    <row r="187" spans="1:27" x14ac:dyDescent="0.3">
      <c r="A187" t="s">
        <v>594</v>
      </c>
      <c r="B187" s="1">
        <v>45286</v>
      </c>
      <c r="C187" t="s">
        <v>595</v>
      </c>
      <c r="D187" t="s">
        <v>322</v>
      </c>
      <c r="E187">
        <v>6</v>
      </c>
      <c r="F187" t="s">
        <v>51</v>
      </c>
      <c r="G187">
        <v>0</v>
      </c>
      <c r="H187" t="s">
        <v>596</v>
      </c>
      <c r="I187" t="s">
        <v>80</v>
      </c>
      <c r="J187">
        <v>55</v>
      </c>
      <c r="K187" t="s">
        <v>73</v>
      </c>
      <c r="L187" t="s">
        <v>66</v>
      </c>
      <c r="M187" s="1">
        <v>44682</v>
      </c>
      <c r="N187" t="s">
        <v>54</v>
      </c>
      <c r="O187" t="s">
        <v>324</v>
      </c>
      <c r="P187" t="s">
        <v>35</v>
      </c>
      <c r="Q187" t="s">
        <v>111</v>
      </c>
      <c r="R187">
        <v>3696.72</v>
      </c>
      <c r="S187">
        <v>4397.13</v>
      </c>
      <c r="T187">
        <v>92</v>
      </c>
      <c r="U187">
        <v>9469.7000000000007</v>
      </c>
      <c r="V187">
        <v>521.28</v>
      </c>
      <c r="W187">
        <v>8948.42</v>
      </c>
      <c r="X187">
        <v>2262.1799999999998</v>
      </c>
      <c r="Y187" t="s">
        <v>83</v>
      </c>
      <c r="Z187">
        <v>26382.78</v>
      </c>
      <c r="AA187">
        <v>4202.4600000000019</v>
      </c>
    </row>
    <row r="188" spans="1:27" x14ac:dyDescent="0.3">
      <c r="A188" t="s">
        <v>597</v>
      </c>
      <c r="B188" s="1">
        <v>45261</v>
      </c>
      <c r="C188" t="s">
        <v>598</v>
      </c>
      <c r="D188" t="s">
        <v>393</v>
      </c>
      <c r="E188">
        <v>5</v>
      </c>
      <c r="F188" t="s">
        <v>90</v>
      </c>
      <c r="G188">
        <v>21</v>
      </c>
      <c r="H188" t="s">
        <v>599</v>
      </c>
      <c r="I188" t="s">
        <v>80</v>
      </c>
      <c r="J188">
        <v>32</v>
      </c>
      <c r="K188" t="s">
        <v>53</v>
      </c>
      <c r="L188" t="s">
        <v>43</v>
      </c>
      <c r="M188" s="1">
        <v>45512</v>
      </c>
      <c r="N188" t="s">
        <v>44</v>
      </c>
      <c r="O188" t="s">
        <v>395</v>
      </c>
      <c r="P188" t="s">
        <v>35</v>
      </c>
      <c r="Q188" t="s">
        <v>111</v>
      </c>
      <c r="R188">
        <v>4793.34</v>
      </c>
      <c r="S188">
        <v>7058.65</v>
      </c>
      <c r="T188">
        <v>107</v>
      </c>
      <c r="U188">
        <v>1700</v>
      </c>
      <c r="V188">
        <v>115.39</v>
      </c>
      <c r="W188">
        <v>1584.61</v>
      </c>
      <c r="X188">
        <v>4886.4399999999996</v>
      </c>
      <c r="Y188" t="s">
        <v>83</v>
      </c>
      <c r="Z188">
        <v>35293.25</v>
      </c>
      <c r="AA188">
        <v>11326.549999999997</v>
      </c>
    </row>
    <row r="189" spans="1:27" x14ac:dyDescent="0.3">
      <c r="A189" t="s">
        <v>600</v>
      </c>
      <c r="B189" s="1">
        <v>45174</v>
      </c>
      <c r="C189" t="s">
        <v>601</v>
      </c>
      <c r="D189" t="s">
        <v>71</v>
      </c>
      <c r="E189">
        <v>5</v>
      </c>
      <c r="F189" t="s">
        <v>28</v>
      </c>
      <c r="G189">
        <v>18</v>
      </c>
      <c r="H189" t="s">
        <v>602</v>
      </c>
      <c r="I189" t="s">
        <v>80</v>
      </c>
      <c r="J189">
        <v>29</v>
      </c>
      <c r="K189" t="s">
        <v>31</v>
      </c>
      <c r="L189" t="s">
        <v>53</v>
      </c>
      <c r="M189" s="1">
        <v>44740</v>
      </c>
      <c r="N189" t="s">
        <v>54</v>
      </c>
      <c r="O189" t="s">
        <v>74</v>
      </c>
      <c r="P189" t="s">
        <v>35</v>
      </c>
      <c r="Q189" t="s">
        <v>36</v>
      </c>
      <c r="R189">
        <v>3231.26</v>
      </c>
      <c r="S189">
        <v>4308.05</v>
      </c>
      <c r="T189">
        <v>21</v>
      </c>
      <c r="U189">
        <v>18063.11</v>
      </c>
      <c r="V189">
        <v>251.96</v>
      </c>
      <c r="W189">
        <v>17811.150000000001</v>
      </c>
      <c r="X189">
        <v>1224.44</v>
      </c>
      <c r="Y189" t="s">
        <v>83</v>
      </c>
      <c r="Z189">
        <v>21540.25</v>
      </c>
      <c r="AA189">
        <v>5383.95</v>
      </c>
    </row>
    <row r="190" spans="1:27" x14ac:dyDescent="0.3">
      <c r="A190" t="s">
        <v>603</v>
      </c>
      <c r="B190" s="1">
        <v>44943</v>
      </c>
      <c r="C190" t="s">
        <v>415</v>
      </c>
      <c r="D190" t="s">
        <v>428</v>
      </c>
      <c r="E190">
        <v>2</v>
      </c>
      <c r="F190" t="s">
        <v>28</v>
      </c>
      <c r="G190">
        <v>22</v>
      </c>
      <c r="H190" t="s">
        <v>416</v>
      </c>
      <c r="I190" t="s">
        <v>30</v>
      </c>
      <c r="J190">
        <v>54</v>
      </c>
      <c r="K190" t="s">
        <v>155</v>
      </c>
      <c r="L190" t="s">
        <v>66</v>
      </c>
      <c r="M190" s="1">
        <v>45337</v>
      </c>
      <c r="N190" t="s">
        <v>54</v>
      </c>
      <c r="O190" t="s">
        <v>429</v>
      </c>
      <c r="P190" t="s">
        <v>110</v>
      </c>
      <c r="Q190" t="s">
        <v>46</v>
      </c>
      <c r="R190">
        <v>929.24</v>
      </c>
      <c r="S190">
        <v>1350.29</v>
      </c>
      <c r="T190">
        <v>22</v>
      </c>
      <c r="U190">
        <v>10015.959999999999</v>
      </c>
      <c r="V190">
        <v>1989.59</v>
      </c>
      <c r="W190">
        <v>8026.37</v>
      </c>
      <c r="X190">
        <v>458.46</v>
      </c>
      <c r="Y190" t="s">
        <v>83</v>
      </c>
      <c r="Z190">
        <v>2700.58</v>
      </c>
      <c r="AA190">
        <v>842.09999999999991</v>
      </c>
    </row>
    <row r="191" spans="1:27" x14ac:dyDescent="0.3">
      <c r="A191" t="s">
        <v>604</v>
      </c>
      <c r="B191" s="1">
        <v>45081</v>
      </c>
      <c r="C191" t="s">
        <v>605</v>
      </c>
      <c r="D191" t="s">
        <v>163</v>
      </c>
      <c r="E191">
        <v>5</v>
      </c>
      <c r="F191" t="s">
        <v>78</v>
      </c>
      <c r="G191">
        <v>22</v>
      </c>
      <c r="H191" t="s">
        <v>606</v>
      </c>
      <c r="I191" t="s">
        <v>80</v>
      </c>
      <c r="J191">
        <v>47</v>
      </c>
      <c r="K191" t="s">
        <v>65</v>
      </c>
      <c r="L191" t="s">
        <v>66</v>
      </c>
      <c r="M191" s="1">
        <v>44901</v>
      </c>
      <c r="N191" t="s">
        <v>44</v>
      </c>
      <c r="O191" t="s">
        <v>165</v>
      </c>
      <c r="P191" t="s">
        <v>94</v>
      </c>
      <c r="Q191" t="s">
        <v>120</v>
      </c>
      <c r="R191">
        <v>1733.92</v>
      </c>
      <c r="S191">
        <v>2099.92</v>
      </c>
      <c r="T191">
        <v>175</v>
      </c>
      <c r="U191">
        <v>744.09</v>
      </c>
      <c r="V191">
        <v>98.87</v>
      </c>
      <c r="W191">
        <v>645.22</v>
      </c>
      <c r="X191">
        <v>4057.79</v>
      </c>
      <c r="Y191" t="s">
        <v>37</v>
      </c>
      <c r="Z191">
        <v>10499.6</v>
      </c>
      <c r="AA191">
        <v>1830</v>
      </c>
    </row>
    <row r="192" spans="1:27" x14ac:dyDescent="0.3">
      <c r="A192" t="s">
        <v>607</v>
      </c>
      <c r="B192" s="1">
        <v>45140</v>
      </c>
      <c r="C192" t="s">
        <v>608</v>
      </c>
      <c r="D192" t="s">
        <v>106</v>
      </c>
      <c r="E192">
        <v>2</v>
      </c>
      <c r="F192" t="s">
        <v>28</v>
      </c>
      <c r="G192">
        <v>5</v>
      </c>
      <c r="H192" t="s">
        <v>609</v>
      </c>
      <c r="I192" t="s">
        <v>80</v>
      </c>
      <c r="J192">
        <v>38</v>
      </c>
      <c r="K192" t="s">
        <v>60</v>
      </c>
      <c r="L192" t="s">
        <v>53</v>
      </c>
      <c r="M192" s="1">
        <v>44660</v>
      </c>
      <c r="N192" t="s">
        <v>33</v>
      </c>
      <c r="O192" t="s">
        <v>109</v>
      </c>
      <c r="P192" t="s">
        <v>110</v>
      </c>
      <c r="Q192" t="s">
        <v>111</v>
      </c>
      <c r="R192">
        <v>1622.17</v>
      </c>
      <c r="S192">
        <v>1993.72</v>
      </c>
      <c r="T192">
        <v>262</v>
      </c>
      <c r="U192">
        <v>3666.78</v>
      </c>
      <c r="V192">
        <v>655.87</v>
      </c>
      <c r="W192">
        <v>3010.91</v>
      </c>
      <c r="X192">
        <v>1157.1600000000001</v>
      </c>
      <c r="Y192" t="s">
        <v>56</v>
      </c>
      <c r="Z192">
        <v>3987.44</v>
      </c>
      <c r="AA192">
        <v>743.09999999999991</v>
      </c>
    </row>
    <row r="193" spans="1:27" x14ac:dyDescent="0.3">
      <c r="A193" t="s">
        <v>610</v>
      </c>
      <c r="B193" s="1">
        <v>45170</v>
      </c>
      <c r="C193" t="s">
        <v>611</v>
      </c>
      <c r="D193" t="s">
        <v>207</v>
      </c>
      <c r="E193">
        <v>6</v>
      </c>
      <c r="F193" t="s">
        <v>28</v>
      </c>
      <c r="G193">
        <v>6</v>
      </c>
      <c r="H193" t="s">
        <v>612</v>
      </c>
      <c r="I193" t="s">
        <v>80</v>
      </c>
      <c r="J193">
        <v>26</v>
      </c>
      <c r="K193" t="s">
        <v>73</v>
      </c>
      <c r="L193" t="s">
        <v>108</v>
      </c>
      <c r="M193" s="1">
        <v>45239</v>
      </c>
      <c r="N193" t="s">
        <v>33</v>
      </c>
      <c r="O193" t="s">
        <v>209</v>
      </c>
      <c r="P193" t="s">
        <v>35</v>
      </c>
      <c r="Q193" t="s">
        <v>46</v>
      </c>
      <c r="R193">
        <v>4764.59</v>
      </c>
      <c r="S193">
        <v>5703.68</v>
      </c>
      <c r="T193">
        <v>87</v>
      </c>
      <c r="U193">
        <v>12726.88</v>
      </c>
      <c r="V193">
        <v>1906.92</v>
      </c>
      <c r="W193">
        <v>10819.96</v>
      </c>
      <c r="X193">
        <v>3645.96</v>
      </c>
      <c r="Y193" t="s">
        <v>47</v>
      </c>
      <c r="Z193">
        <v>34222.080000000002</v>
      </c>
      <c r="AA193">
        <v>5634.5400000000009</v>
      </c>
    </row>
    <row r="194" spans="1:27" x14ac:dyDescent="0.3">
      <c r="A194" t="s">
        <v>613</v>
      </c>
      <c r="B194" s="1">
        <v>45117</v>
      </c>
      <c r="C194" t="s">
        <v>614</v>
      </c>
      <c r="D194" t="s">
        <v>117</v>
      </c>
      <c r="E194">
        <v>3</v>
      </c>
      <c r="F194" t="s">
        <v>51</v>
      </c>
      <c r="G194">
        <v>20</v>
      </c>
      <c r="H194" t="s">
        <v>615</v>
      </c>
      <c r="I194" t="s">
        <v>80</v>
      </c>
      <c r="J194">
        <v>37</v>
      </c>
      <c r="K194" t="s">
        <v>53</v>
      </c>
      <c r="L194" t="s">
        <v>32</v>
      </c>
      <c r="M194" s="1">
        <v>45035</v>
      </c>
      <c r="N194" t="s">
        <v>44</v>
      </c>
      <c r="O194" t="s">
        <v>119</v>
      </c>
      <c r="P194" t="s">
        <v>110</v>
      </c>
      <c r="Q194" t="s">
        <v>120</v>
      </c>
      <c r="R194">
        <v>1390.81</v>
      </c>
      <c r="S194">
        <v>1874.61</v>
      </c>
      <c r="T194">
        <v>262</v>
      </c>
      <c r="U194">
        <v>2869.89</v>
      </c>
      <c r="V194">
        <v>175.56</v>
      </c>
      <c r="W194">
        <v>2694.33</v>
      </c>
      <c r="X194">
        <v>4642.92</v>
      </c>
      <c r="Y194" t="s">
        <v>47</v>
      </c>
      <c r="Z194">
        <v>5623.83</v>
      </c>
      <c r="AA194">
        <v>1451.3999999999999</v>
      </c>
    </row>
    <row r="195" spans="1:27" x14ac:dyDescent="0.3">
      <c r="A195" t="s">
        <v>616</v>
      </c>
      <c r="B195" s="1">
        <v>44974</v>
      </c>
      <c r="C195" t="s">
        <v>617</v>
      </c>
      <c r="D195" t="s">
        <v>223</v>
      </c>
      <c r="E195">
        <v>4</v>
      </c>
      <c r="F195" t="s">
        <v>90</v>
      </c>
      <c r="G195">
        <v>4</v>
      </c>
      <c r="H195" t="s">
        <v>618</v>
      </c>
      <c r="I195" t="s">
        <v>30</v>
      </c>
      <c r="J195">
        <v>56</v>
      </c>
      <c r="K195" t="s">
        <v>31</v>
      </c>
      <c r="L195" t="s">
        <v>81</v>
      </c>
      <c r="M195" s="1">
        <v>44749</v>
      </c>
      <c r="N195" t="s">
        <v>44</v>
      </c>
      <c r="O195" t="s">
        <v>224</v>
      </c>
      <c r="P195" t="s">
        <v>35</v>
      </c>
      <c r="Q195" t="s">
        <v>111</v>
      </c>
      <c r="R195">
        <v>3470.49</v>
      </c>
      <c r="S195">
        <v>5407.89</v>
      </c>
      <c r="T195">
        <v>141</v>
      </c>
      <c r="U195">
        <v>17287.689999999999</v>
      </c>
      <c r="V195">
        <v>1667.65</v>
      </c>
      <c r="W195">
        <v>15620.04</v>
      </c>
      <c r="X195">
        <v>688.79</v>
      </c>
      <c r="Y195" t="s">
        <v>83</v>
      </c>
      <c r="Z195">
        <v>21631.56</v>
      </c>
      <c r="AA195">
        <v>7749.6000000000022</v>
      </c>
    </row>
    <row r="196" spans="1:27" x14ac:dyDescent="0.3">
      <c r="A196" t="s">
        <v>619</v>
      </c>
      <c r="B196" s="1">
        <v>45156</v>
      </c>
      <c r="C196" t="s">
        <v>620</v>
      </c>
      <c r="D196" t="s">
        <v>117</v>
      </c>
      <c r="E196">
        <v>4</v>
      </c>
      <c r="F196" t="s">
        <v>51</v>
      </c>
      <c r="G196">
        <v>9</v>
      </c>
      <c r="H196" t="s">
        <v>621</v>
      </c>
      <c r="I196" t="s">
        <v>30</v>
      </c>
      <c r="J196">
        <v>20</v>
      </c>
      <c r="K196" t="s">
        <v>92</v>
      </c>
      <c r="L196" t="s">
        <v>53</v>
      </c>
      <c r="M196" s="1">
        <v>45758</v>
      </c>
      <c r="N196" t="s">
        <v>44</v>
      </c>
      <c r="O196" t="s">
        <v>119</v>
      </c>
      <c r="P196" t="s">
        <v>110</v>
      </c>
      <c r="Q196" t="s">
        <v>120</v>
      </c>
      <c r="R196">
        <v>1390.81</v>
      </c>
      <c r="S196">
        <v>1874.61</v>
      </c>
      <c r="T196">
        <v>262</v>
      </c>
      <c r="U196">
        <v>19861.650000000001</v>
      </c>
      <c r="V196">
        <v>243.27</v>
      </c>
      <c r="W196">
        <v>19618.38</v>
      </c>
      <c r="X196">
        <v>2529.31</v>
      </c>
      <c r="Y196" t="s">
        <v>47</v>
      </c>
      <c r="Z196">
        <v>7498.44</v>
      </c>
      <c r="AA196">
        <v>1935.1999999999998</v>
      </c>
    </row>
    <row r="197" spans="1:27" x14ac:dyDescent="0.3">
      <c r="A197" t="s">
        <v>622</v>
      </c>
      <c r="B197" s="1">
        <v>44989</v>
      </c>
      <c r="C197" t="s">
        <v>438</v>
      </c>
      <c r="D197" t="s">
        <v>223</v>
      </c>
      <c r="E197">
        <v>6</v>
      </c>
      <c r="F197" t="s">
        <v>90</v>
      </c>
      <c r="G197">
        <v>18</v>
      </c>
      <c r="H197" t="s">
        <v>439</v>
      </c>
      <c r="I197" t="s">
        <v>30</v>
      </c>
      <c r="J197">
        <v>57</v>
      </c>
      <c r="K197" t="s">
        <v>53</v>
      </c>
      <c r="L197" t="s">
        <v>43</v>
      </c>
      <c r="M197" s="1">
        <v>45545</v>
      </c>
      <c r="N197" t="s">
        <v>33</v>
      </c>
      <c r="O197" t="s">
        <v>224</v>
      </c>
      <c r="P197" t="s">
        <v>35</v>
      </c>
      <c r="Q197" t="s">
        <v>111</v>
      </c>
      <c r="R197">
        <v>3470.49</v>
      </c>
      <c r="S197">
        <v>5407.89</v>
      </c>
      <c r="T197">
        <v>141</v>
      </c>
      <c r="U197">
        <v>5126.92</v>
      </c>
      <c r="V197">
        <v>1065.1500000000001</v>
      </c>
      <c r="W197">
        <v>4061.77</v>
      </c>
      <c r="X197">
        <v>1561.34</v>
      </c>
      <c r="Y197" t="s">
        <v>37</v>
      </c>
      <c r="Z197">
        <v>32447.340000000004</v>
      </c>
      <c r="AA197">
        <v>11624.400000000003</v>
      </c>
    </row>
    <row r="198" spans="1:27" x14ac:dyDescent="0.3">
      <c r="A198" t="s">
        <v>623</v>
      </c>
      <c r="B198" s="1">
        <v>45057</v>
      </c>
      <c r="C198" t="s">
        <v>624</v>
      </c>
      <c r="D198" t="s">
        <v>207</v>
      </c>
      <c r="E198">
        <v>4</v>
      </c>
      <c r="F198" t="s">
        <v>78</v>
      </c>
      <c r="G198">
        <v>11</v>
      </c>
      <c r="H198" t="s">
        <v>625</v>
      </c>
      <c r="I198" t="s">
        <v>30</v>
      </c>
      <c r="J198">
        <v>39</v>
      </c>
      <c r="K198" t="s">
        <v>92</v>
      </c>
      <c r="L198" t="s">
        <v>32</v>
      </c>
      <c r="M198" s="1">
        <v>45728</v>
      </c>
      <c r="N198" t="s">
        <v>44</v>
      </c>
      <c r="O198" t="s">
        <v>209</v>
      </c>
      <c r="P198" t="s">
        <v>35</v>
      </c>
      <c r="Q198" t="s">
        <v>46</v>
      </c>
      <c r="R198">
        <v>4764.59</v>
      </c>
      <c r="S198">
        <v>5703.68</v>
      </c>
      <c r="T198">
        <v>87</v>
      </c>
      <c r="U198">
        <v>16261.39</v>
      </c>
      <c r="V198">
        <v>1072.55</v>
      </c>
      <c r="W198">
        <v>15188.84</v>
      </c>
      <c r="X198">
        <v>2462.59</v>
      </c>
      <c r="Y198" t="s">
        <v>47</v>
      </c>
      <c r="Z198">
        <v>22814.720000000001</v>
      </c>
      <c r="AA198">
        <v>3756.3600000000006</v>
      </c>
    </row>
    <row r="199" spans="1:27" x14ac:dyDescent="0.3">
      <c r="A199" t="s">
        <v>626</v>
      </c>
      <c r="B199" s="1">
        <v>45228</v>
      </c>
      <c r="C199" t="s">
        <v>501</v>
      </c>
      <c r="D199" t="s">
        <v>236</v>
      </c>
      <c r="E199">
        <v>6</v>
      </c>
      <c r="F199" t="s">
        <v>51</v>
      </c>
      <c r="G199">
        <v>22</v>
      </c>
      <c r="H199" t="s">
        <v>502</v>
      </c>
      <c r="I199" t="s">
        <v>80</v>
      </c>
      <c r="J199">
        <v>34</v>
      </c>
      <c r="K199" t="s">
        <v>92</v>
      </c>
      <c r="L199" t="s">
        <v>43</v>
      </c>
      <c r="M199" s="1">
        <v>45698</v>
      </c>
      <c r="N199" t="s">
        <v>44</v>
      </c>
      <c r="O199" t="s">
        <v>238</v>
      </c>
      <c r="P199" t="s">
        <v>68</v>
      </c>
      <c r="Q199" t="s">
        <v>120</v>
      </c>
      <c r="R199">
        <v>3957.37</v>
      </c>
      <c r="S199">
        <v>5045.3500000000004</v>
      </c>
      <c r="T199">
        <v>227</v>
      </c>
      <c r="U199">
        <v>3275.69</v>
      </c>
      <c r="V199">
        <v>781.86</v>
      </c>
      <c r="W199">
        <v>2493.83</v>
      </c>
      <c r="X199">
        <v>1884.2</v>
      </c>
      <c r="Y199" t="s">
        <v>47</v>
      </c>
      <c r="Z199">
        <v>30272.100000000002</v>
      </c>
      <c r="AA199">
        <v>6527.8800000000028</v>
      </c>
    </row>
    <row r="200" spans="1:27" x14ac:dyDescent="0.3">
      <c r="A200" t="s">
        <v>627</v>
      </c>
      <c r="B200" s="1">
        <v>45025</v>
      </c>
      <c r="C200" t="s">
        <v>481</v>
      </c>
      <c r="D200" t="s">
        <v>246</v>
      </c>
      <c r="E200">
        <v>5</v>
      </c>
      <c r="F200" t="s">
        <v>28</v>
      </c>
      <c r="G200">
        <v>4</v>
      </c>
      <c r="H200" t="s">
        <v>482</v>
      </c>
      <c r="I200" t="s">
        <v>80</v>
      </c>
      <c r="J200">
        <v>25</v>
      </c>
      <c r="K200" t="s">
        <v>53</v>
      </c>
      <c r="L200" t="s">
        <v>108</v>
      </c>
      <c r="M200" s="1">
        <v>45315</v>
      </c>
      <c r="N200" t="s">
        <v>33</v>
      </c>
      <c r="O200" t="s">
        <v>247</v>
      </c>
      <c r="P200" t="s">
        <v>110</v>
      </c>
      <c r="Q200" t="s">
        <v>120</v>
      </c>
      <c r="R200">
        <v>4133.24</v>
      </c>
      <c r="S200">
        <v>6302.13</v>
      </c>
      <c r="T200">
        <v>299</v>
      </c>
      <c r="U200">
        <v>18515.43</v>
      </c>
      <c r="V200">
        <v>362.71</v>
      </c>
      <c r="W200">
        <v>18152.72</v>
      </c>
      <c r="X200">
        <v>4494.16</v>
      </c>
      <c r="Y200" t="s">
        <v>56</v>
      </c>
      <c r="Z200">
        <v>31510.65</v>
      </c>
      <c r="AA200">
        <v>10844.45</v>
      </c>
    </row>
    <row r="201" spans="1:27" x14ac:dyDescent="0.3">
      <c r="A201" t="s">
        <v>628</v>
      </c>
      <c r="B201" s="1">
        <v>45192</v>
      </c>
      <c r="C201" t="s">
        <v>548</v>
      </c>
      <c r="D201" t="s">
        <v>408</v>
      </c>
      <c r="E201">
        <v>5</v>
      </c>
      <c r="F201" t="s">
        <v>51</v>
      </c>
      <c r="G201">
        <v>10</v>
      </c>
      <c r="H201" t="s">
        <v>549</v>
      </c>
      <c r="I201" t="s">
        <v>80</v>
      </c>
      <c r="J201">
        <v>50</v>
      </c>
      <c r="K201" t="s">
        <v>92</v>
      </c>
      <c r="L201" t="s">
        <v>66</v>
      </c>
      <c r="M201" s="1">
        <v>44953</v>
      </c>
      <c r="N201" t="s">
        <v>44</v>
      </c>
      <c r="O201" t="s">
        <v>410</v>
      </c>
      <c r="P201" t="s">
        <v>68</v>
      </c>
      <c r="Q201" t="s">
        <v>46</v>
      </c>
      <c r="R201">
        <v>2025.88</v>
      </c>
      <c r="S201">
        <v>2513.29</v>
      </c>
      <c r="T201">
        <v>67</v>
      </c>
      <c r="U201">
        <v>6558.78</v>
      </c>
      <c r="V201">
        <v>89.48</v>
      </c>
      <c r="W201">
        <v>6469.3</v>
      </c>
      <c r="X201">
        <v>2507.48</v>
      </c>
      <c r="Y201" t="s">
        <v>37</v>
      </c>
      <c r="Z201">
        <v>12566.45</v>
      </c>
      <c r="AA201">
        <v>2437.0499999999993</v>
      </c>
    </row>
    <row r="202" spans="1:27" x14ac:dyDescent="0.3">
      <c r="A202" t="s">
        <v>629</v>
      </c>
      <c r="B202" s="1">
        <v>45218</v>
      </c>
      <c r="C202" t="s">
        <v>630</v>
      </c>
      <c r="D202" t="s">
        <v>102</v>
      </c>
      <c r="E202">
        <v>6</v>
      </c>
      <c r="F202" t="s">
        <v>90</v>
      </c>
      <c r="G202">
        <v>24</v>
      </c>
      <c r="H202" t="s">
        <v>631</v>
      </c>
      <c r="I202" t="s">
        <v>30</v>
      </c>
      <c r="J202">
        <v>45</v>
      </c>
      <c r="K202" t="s">
        <v>73</v>
      </c>
      <c r="L202" t="s">
        <v>32</v>
      </c>
      <c r="M202" s="1">
        <v>44941</v>
      </c>
      <c r="N202" t="s">
        <v>54</v>
      </c>
      <c r="O202" t="s">
        <v>103</v>
      </c>
      <c r="P202" t="s">
        <v>94</v>
      </c>
      <c r="Q202" t="s">
        <v>46</v>
      </c>
      <c r="R202">
        <v>4398.43</v>
      </c>
      <c r="S202">
        <v>6683.28</v>
      </c>
      <c r="T202">
        <v>152</v>
      </c>
      <c r="U202">
        <v>1853.57</v>
      </c>
      <c r="V202">
        <v>431.72</v>
      </c>
      <c r="W202">
        <v>1421.85</v>
      </c>
      <c r="X202">
        <v>2761.47</v>
      </c>
      <c r="Y202" t="s">
        <v>56</v>
      </c>
      <c r="Z202">
        <v>40099.68</v>
      </c>
      <c r="AA202">
        <v>13709.099999999997</v>
      </c>
    </row>
    <row r="203" spans="1:27" x14ac:dyDescent="0.3">
      <c r="A203" t="s">
        <v>632</v>
      </c>
      <c r="B203" s="1">
        <v>45113</v>
      </c>
      <c r="C203" t="s">
        <v>633</v>
      </c>
      <c r="D203" t="s">
        <v>276</v>
      </c>
      <c r="E203">
        <v>4</v>
      </c>
      <c r="F203" t="s">
        <v>90</v>
      </c>
      <c r="G203">
        <v>13</v>
      </c>
      <c r="H203" t="s">
        <v>634</v>
      </c>
      <c r="I203" t="s">
        <v>80</v>
      </c>
      <c r="J203">
        <v>60</v>
      </c>
      <c r="K203" t="s">
        <v>53</v>
      </c>
      <c r="L203" t="s">
        <v>43</v>
      </c>
      <c r="M203" s="1">
        <v>45017</v>
      </c>
      <c r="N203" t="s">
        <v>54</v>
      </c>
      <c r="O203" t="s">
        <v>278</v>
      </c>
      <c r="P203" t="s">
        <v>35</v>
      </c>
      <c r="Q203" t="s">
        <v>111</v>
      </c>
      <c r="R203">
        <v>3479.48</v>
      </c>
      <c r="S203">
        <v>5364.57</v>
      </c>
      <c r="T203">
        <v>41</v>
      </c>
      <c r="U203">
        <v>5743.66</v>
      </c>
      <c r="V203">
        <v>98.06</v>
      </c>
      <c r="W203">
        <v>5645.6</v>
      </c>
      <c r="X203">
        <v>104.63</v>
      </c>
      <c r="Y203" t="s">
        <v>37</v>
      </c>
      <c r="Z203">
        <v>21458.28</v>
      </c>
      <c r="AA203">
        <v>7540.3599999999988</v>
      </c>
    </row>
    <row r="204" spans="1:27" x14ac:dyDescent="0.3">
      <c r="A204" t="s">
        <v>635</v>
      </c>
      <c r="B204" s="1">
        <v>45060</v>
      </c>
      <c r="C204" t="s">
        <v>636</v>
      </c>
      <c r="D204" t="s">
        <v>448</v>
      </c>
      <c r="E204">
        <v>6</v>
      </c>
      <c r="F204" t="s">
        <v>78</v>
      </c>
      <c r="G204">
        <v>19</v>
      </c>
      <c r="H204" t="s">
        <v>637</v>
      </c>
      <c r="I204" t="s">
        <v>30</v>
      </c>
      <c r="J204">
        <v>46</v>
      </c>
      <c r="K204" t="s">
        <v>155</v>
      </c>
      <c r="L204" t="s">
        <v>53</v>
      </c>
      <c r="M204" s="1">
        <v>44749</v>
      </c>
      <c r="N204" t="s">
        <v>44</v>
      </c>
      <c r="O204" t="s">
        <v>449</v>
      </c>
      <c r="P204" t="s">
        <v>110</v>
      </c>
      <c r="Q204" t="s">
        <v>120</v>
      </c>
      <c r="R204">
        <v>4836.3999999999996</v>
      </c>
      <c r="S204">
        <v>7004.05</v>
      </c>
      <c r="T204">
        <v>98</v>
      </c>
      <c r="U204">
        <v>13602.25</v>
      </c>
      <c r="V204">
        <v>98.93</v>
      </c>
      <c r="W204">
        <v>13503.32</v>
      </c>
      <c r="X204">
        <v>1879.58</v>
      </c>
      <c r="Y204" t="s">
        <v>37</v>
      </c>
      <c r="Z204">
        <v>42024.3</v>
      </c>
      <c r="AA204">
        <v>13005.900000000003</v>
      </c>
    </row>
    <row r="205" spans="1:27" x14ac:dyDescent="0.3">
      <c r="A205" t="s">
        <v>638</v>
      </c>
      <c r="B205" s="1">
        <v>45263</v>
      </c>
      <c r="C205" t="s">
        <v>639</v>
      </c>
      <c r="D205" t="s">
        <v>510</v>
      </c>
      <c r="E205">
        <v>2</v>
      </c>
      <c r="F205" t="s">
        <v>51</v>
      </c>
      <c r="G205">
        <v>8</v>
      </c>
      <c r="H205" t="s">
        <v>640</v>
      </c>
      <c r="I205" t="s">
        <v>80</v>
      </c>
      <c r="J205">
        <v>53</v>
      </c>
      <c r="K205" t="s">
        <v>65</v>
      </c>
      <c r="L205" t="s">
        <v>53</v>
      </c>
      <c r="M205" s="1">
        <v>44739</v>
      </c>
      <c r="N205" t="s">
        <v>33</v>
      </c>
      <c r="O205" t="s">
        <v>512</v>
      </c>
      <c r="P205" t="s">
        <v>110</v>
      </c>
      <c r="Q205" t="s">
        <v>36</v>
      </c>
      <c r="R205">
        <v>952.01</v>
      </c>
      <c r="S205">
        <v>1107.5</v>
      </c>
      <c r="T205">
        <v>162</v>
      </c>
      <c r="U205">
        <v>8132.15</v>
      </c>
      <c r="V205">
        <v>1161.55</v>
      </c>
      <c r="W205">
        <v>6970.6</v>
      </c>
      <c r="X205">
        <v>2384.83</v>
      </c>
      <c r="Y205" t="s">
        <v>47</v>
      </c>
      <c r="Z205">
        <v>2215</v>
      </c>
      <c r="AA205">
        <v>310.98</v>
      </c>
    </row>
    <row r="206" spans="1:27" x14ac:dyDescent="0.3">
      <c r="A206" t="s">
        <v>641</v>
      </c>
      <c r="B206" s="1">
        <v>45190</v>
      </c>
      <c r="C206" t="s">
        <v>642</v>
      </c>
      <c r="D206" t="s">
        <v>71</v>
      </c>
      <c r="E206">
        <v>4</v>
      </c>
      <c r="F206" t="s">
        <v>90</v>
      </c>
      <c r="G206">
        <v>18</v>
      </c>
      <c r="H206" t="s">
        <v>643</v>
      </c>
      <c r="I206" t="s">
        <v>30</v>
      </c>
      <c r="J206">
        <v>53</v>
      </c>
      <c r="K206" t="s">
        <v>155</v>
      </c>
      <c r="L206" t="s">
        <v>81</v>
      </c>
      <c r="M206" s="1">
        <v>45242</v>
      </c>
      <c r="N206" t="s">
        <v>44</v>
      </c>
      <c r="O206" t="s">
        <v>74</v>
      </c>
      <c r="P206" t="s">
        <v>35</v>
      </c>
      <c r="Q206" t="s">
        <v>36</v>
      </c>
      <c r="R206">
        <v>3231.26</v>
      </c>
      <c r="S206">
        <v>4308.05</v>
      </c>
      <c r="T206">
        <v>21</v>
      </c>
      <c r="U206">
        <v>9164.26</v>
      </c>
      <c r="V206">
        <v>1081.94</v>
      </c>
      <c r="W206">
        <v>8082.32</v>
      </c>
      <c r="X206">
        <v>1421.55</v>
      </c>
      <c r="Y206" t="s">
        <v>83</v>
      </c>
      <c r="Z206">
        <v>17232.2</v>
      </c>
      <c r="AA206">
        <v>4307.16</v>
      </c>
    </row>
    <row r="207" spans="1:27" x14ac:dyDescent="0.3">
      <c r="A207" t="s">
        <v>644</v>
      </c>
      <c r="B207" s="1">
        <v>45196</v>
      </c>
      <c r="C207" t="s">
        <v>487</v>
      </c>
      <c r="D207" t="s">
        <v>197</v>
      </c>
      <c r="E207">
        <v>6</v>
      </c>
      <c r="F207" t="s">
        <v>78</v>
      </c>
      <c r="G207">
        <v>14</v>
      </c>
      <c r="H207" t="s">
        <v>488</v>
      </c>
      <c r="I207" t="s">
        <v>30</v>
      </c>
      <c r="J207">
        <v>41</v>
      </c>
      <c r="K207" t="s">
        <v>155</v>
      </c>
      <c r="L207" t="s">
        <v>53</v>
      </c>
      <c r="M207" s="1">
        <v>44861</v>
      </c>
      <c r="N207" t="s">
        <v>44</v>
      </c>
      <c r="O207" t="s">
        <v>199</v>
      </c>
      <c r="P207" t="s">
        <v>35</v>
      </c>
      <c r="Q207" t="s">
        <v>46</v>
      </c>
      <c r="R207">
        <v>1612.7</v>
      </c>
      <c r="S207">
        <v>1932.63</v>
      </c>
      <c r="T207">
        <v>278</v>
      </c>
      <c r="U207">
        <v>18551.849999999999</v>
      </c>
      <c r="V207">
        <v>4154.88</v>
      </c>
      <c r="W207">
        <v>14396.97</v>
      </c>
      <c r="X207">
        <v>472.37</v>
      </c>
      <c r="Y207" t="s">
        <v>56</v>
      </c>
      <c r="Z207">
        <v>11595.78</v>
      </c>
      <c r="AA207">
        <v>1919.5800000000004</v>
      </c>
    </row>
    <row r="208" spans="1:27" x14ac:dyDescent="0.3">
      <c r="A208" t="s">
        <v>645</v>
      </c>
      <c r="B208" s="1">
        <v>45075</v>
      </c>
      <c r="C208" t="s">
        <v>646</v>
      </c>
      <c r="D208" t="s">
        <v>226</v>
      </c>
      <c r="E208">
        <v>3</v>
      </c>
      <c r="F208" t="s">
        <v>78</v>
      </c>
      <c r="G208">
        <v>15</v>
      </c>
      <c r="H208" t="s">
        <v>647</v>
      </c>
      <c r="I208" t="s">
        <v>30</v>
      </c>
      <c r="J208">
        <v>42</v>
      </c>
      <c r="K208" t="s">
        <v>92</v>
      </c>
      <c r="L208" t="s">
        <v>53</v>
      </c>
      <c r="M208" s="1">
        <v>45086</v>
      </c>
      <c r="N208" t="s">
        <v>33</v>
      </c>
      <c r="O208" t="s">
        <v>227</v>
      </c>
      <c r="P208" t="s">
        <v>35</v>
      </c>
      <c r="Q208" t="s">
        <v>111</v>
      </c>
      <c r="R208">
        <v>762.02</v>
      </c>
      <c r="S208">
        <v>1161.9100000000001</v>
      </c>
      <c r="T208">
        <v>293</v>
      </c>
      <c r="U208">
        <v>14411.98</v>
      </c>
      <c r="V208">
        <v>3456.94</v>
      </c>
      <c r="W208">
        <v>10955.04</v>
      </c>
      <c r="X208">
        <v>464.95</v>
      </c>
      <c r="Y208" t="s">
        <v>56</v>
      </c>
      <c r="Z208">
        <v>3485.7300000000005</v>
      </c>
      <c r="AA208">
        <v>1199.6700000000003</v>
      </c>
    </row>
    <row r="209" spans="1:27" x14ac:dyDescent="0.3">
      <c r="A209" t="s">
        <v>648</v>
      </c>
      <c r="B209" s="1">
        <v>45219</v>
      </c>
      <c r="C209" t="s">
        <v>649</v>
      </c>
      <c r="D209" t="s">
        <v>650</v>
      </c>
      <c r="E209">
        <v>2</v>
      </c>
      <c r="F209" t="s">
        <v>90</v>
      </c>
      <c r="G209">
        <v>24</v>
      </c>
      <c r="H209" t="s">
        <v>651</v>
      </c>
      <c r="I209" t="s">
        <v>80</v>
      </c>
      <c r="J209">
        <v>21</v>
      </c>
      <c r="K209" t="s">
        <v>92</v>
      </c>
      <c r="L209" t="s">
        <v>81</v>
      </c>
      <c r="M209" s="1">
        <v>45497</v>
      </c>
      <c r="N209" t="s">
        <v>33</v>
      </c>
      <c r="O209" t="s">
        <v>652</v>
      </c>
      <c r="P209" t="s">
        <v>110</v>
      </c>
      <c r="Q209" t="s">
        <v>46</v>
      </c>
      <c r="R209">
        <v>4581.92</v>
      </c>
      <c r="S209">
        <v>5789.36</v>
      </c>
      <c r="T209">
        <v>140</v>
      </c>
      <c r="U209">
        <v>14327.18</v>
      </c>
      <c r="V209">
        <v>2305.98</v>
      </c>
      <c r="W209">
        <v>12021.2</v>
      </c>
      <c r="X209">
        <v>4679.66</v>
      </c>
      <c r="Y209" t="s">
        <v>56</v>
      </c>
      <c r="Z209">
        <v>11578.72</v>
      </c>
      <c r="AA209">
        <v>2414.8799999999992</v>
      </c>
    </row>
    <row r="210" spans="1:27" x14ac:dyDescent="0.3">
      <c r="A210" t="s">
        <v>653</v>
      </c>
      <c r="B210" s="1">
        <v>45284</v>
      </c>
      <c r="C210" t="s">
        <v>646</v>
      </c>
      <c r="D210" t="s">
        <v>183</v>
      </c>
      <c r="E210">
        <v>2</v>
      </c>
      <c r="F210" t="s">
        <v>51</v>
      </c>
      <c r="G210">
        <v>10</v>
      </c>
      <c r="H210" t="s">
        <v>647</v>
      </c>
      <c r="I210" t="s">
        <v>30</v>
      </c>
      <c r="J210">
        <v>42</v>
      </c>
      <c r="K210" t="s">
        <v>92</v>
      </c>
      <c r="L210" t="s">
        <v>53</v>
      </c>
      <c r="M210" s="1">
        <v>45086</v>
      </c>
      <c r="N210" t="s">
        <v>33</v>
      </c>
      <c r="O210" t="s">
        <v>185</v>
      </c>
      <c r="P210" t="s">
        <v>110</v>
      </c>
      <c r="Q210" t="s">
        <v>36</v>
      </c>
      <c r="R210">
        <v>1358.27</v>
      </c>
      <c r="S210">
        <v>1886.86</v>
      </c>
      <c r="T210">
        <v>153</v>
      </c>
      <c r="U210">
        <v>1793.13</v>
      </c>
      <c r="V210">
        <v>37.549999999999997</v>
      </c>
      <c r="W210">
        <v>1755.58</v>
      </c>
      <c r="X210">
        <v>2906.56</v>
      </c>
      <c r="Y210" t="s">
        <v>37</v>
      </c>
      <c r="Z210">
        <v>3773.72</v>
      </c>
      <c r="AA210">
        <v>1057.1799999999998</v>
      </c>
    </row>
    <row r="211" spans="1:27" x14ac:dyDescent="0.3">
      <c r="A211" t="s">
        <v>654</v>
      </c>
      <c r="B211" s="1">
        <v>45035</v>
      </c>
      <c r="C211" t="s">
        <v>655</v>
      </c>
      <c r="D211" t="s">
        <v>272</v>
      </c>
      <c r="E211">
        <v>4</v>
      </c>
      <c r="F211" t="s">
        <v>90</v>
      </c>
      <c r="G211">
        <v>9</v>
      </c>
      <c r="H211" t="s">
        <v>656</v>
      </c>
      <c r="I211" t="s">
        <v>30</v>
      </c>
      <c r="J211">
        <v>30</v>
      </c>
      <c r="K211" t="s">
        <v>92</v>
      </c>
      <c r="L211" t="s">
        <v>108</v>
      </c>
      <c r="M211" s="1">
        <v>44565</v>
      </c>
      <c r="N211" t="s">
        <v>44</v>
      </c>
      <c r="O211" t="s">
        <v>273</v>
      </c>
      <c r="P211" t="s">
        <v>68</v>
      </c>
      <c r="Q211" t="s">
        <v>111</v>
      </c>
      <c r="R211">
        <v>1137.26</v>
      </c>
      <c r="S211">
        <v>1649.58</v>
      </c>
      <c r="T211">
        <v>243</v>
      </c>
      <c r="U211">
        <v>1393.52</v>
      </c>
      <c r="V211">
        <v>317.05</v>
      </c>
      <c r="W211">
        <v>1076.47</v>
      </c>
      <c r="X211">
        <v>2277.13</v>
      </c>
      <c r="Y211" t="s">
        <v>47</v>
      </c>
      <c r="Z211">
        <v>6598.32</v>
      </c>
      <c r="AA211">
        <v>2049.2799999999997</v>
      </c>
    </row>
    <row r="212" spans="1:27" x14ac:dyDescent="0.3">
      <c r="A212" t="s">
        <v>657</v>
      </c>
      <c r="B212" s="1">
        <v>45178</v>
      </c>
      <c r="C212" t="s">
        <v>658</v>
      </c>
      <c r="D212" t="s">
        <v>197</v>
      </c>
      <c r="E212">
        <v>5</v>
      </c>
      <c r="F212" t="s">
        <v>90</v>
      </c>
      <c r="G212">
        <v>8</v>
      </c>
      <c r="H212" t="s">
        <v>659</v>
      </c>
      <c r="I212" t="s">
        <v>80</v>
      </c>
      <c r="J212">
        <v>45</v>
      </c>
      <c r="K212" t="s">
        <v>42</v>
      </c>
      <c r="L212" t="s">
        <v>53</v>
      </c>
      <c r="M212" s="1">
        <v>44838</v>
      </c>
      <c r="N212" t="s">
        <v>54</v>
      </c>
      <c r="O212" t="s">
        <v>199</v>
      </c>
      <c r="P212" t="s">
        <v>35</v>
      </c>
      <c r="Q212" t="s">
        <v>46</v>
      </c>
      <c r="R212">
        <v>1612.7</v>
      </c>
      <c r="S212">
        <v>1932.63</v>
      </c>
      <c r="T212">
        <v>278</v>
      </c>
      <c r="U212">
        <v>15285.1</v>
      </c>
      <c r="V212">
        <v>1621.72</v>
      </c>
      <c r="W212">
        <v>13663.38</v>
      </c>
      <c r="X212">
        <v>1390.31</v>
      </c>
      <c r="Y212" t="s">
        <v>37</v>
      </c>
      <c r="Z212">
        <v>9663.1500000000015</v>
      </c>
      <c r="AA212">
        <v>1599.6500000000003</v>
      </c>
    </row>
    <row r="213" spans="1:27" x14ac:dyDescent="0.3">
      <c r="A213" t="s">
        <v>660</v>
      </c>
      <c r="B213" s="1">
        <v>44966</v>
      </c>
      <c r="C213" t="s">
        <v>539</v>
      </c>
      <c r="D213" t="s">
        <v>125</v>
      </c>
      <c r="E213">
        <v>1</v>
      </c>
      <c r="F213" t="s">
        <v>78</v>
      </c>
      <c r="G213">
        <v>9</v>
      </c>
      <c r="H213" t="s">
        <v>540</v>
      </c>
      <c r="I213" t="s">
        <v>80</v>
      </c>
      <c r="J213">
        <v>46</v>
      </c>
      <c r="K213" t="s">
        <v>92</v>
      </c>
      <c r="L213" t="s">
        <v>43</v>
      </c>
      <c r="M213" s="1">
        <v>45081</v>
      </c>
      <c r="N213" t="s">
        <v>54</v>
      </c>
      <c r="O213" t="s">
        <v>126</v>
      </c>
      <c r="P213" t="s">
        <v>68</v>
      </c>
      <c r="Q213" t="s">
        <v>120</v>
      </c>
      <c r="R213">
        <v>4301.32</v>
      </c>
      <c r="S213">
        <v>6870.07</v>
      </c>
      <c r="T213">
        <v>243</v>
      </c>
      <c r="U213">
        <v>11017.74</v>
      </c>
      <c r="V213">
        <v>297.64</v>
      </c>
      <c r="W213">
        <v>10720.1</v>
      </c>
      <c r="X213">
        <v>2653.47</v>
      </c>
      <c r="Y213" t="s">
        <v>56</v>
      </c>
      <c r="Z213">
        <v>6870.07</v>
      </c>
      <c r="AA213">
        <v>2568.75</v>
      </c>
    </row>
    <row r="214" spans="1:27" x14ac:dyDescent="0.3">
      <c r="A214" t="s">
        <v>661</v>
      </c>
      <c r="B214" s="1">
        <v>45030</v>
      </c>
      <c r="C214" t="s">
        <v>605</v>
      </c>
      <c r="D214" t="s">
        <v>183</v>
      </c>
      <c r="E214">
        <v>4</v>
      </c>
      <c r="F214" t="s">
        <v>51</v>
      </c>
      <c r="G214">
        <v>25</v>
      </c>
      <c r="H214" t="s">
        <v>606</v>
      </c>
      <c r="I214" t="s">
        <v>80</v>
      </c>
      <c r="J214">
        <v>47</v>
      </c>
      <c r="K214" t="s">
        <v>65</v>
      </c>
      <c r="L214" t="s">
        <v>66</v>
      </c>
      <c r="M214" s="1">
        <v>44901</v>
      </c>
      <c r="N214" t="s">
        <v>44</v>
      </c>
      <c r="O214" t="s">
        <v>185</v>
      </c>
      <c r="P214" t="s">
        <v>110</v>
      </c>
      <c r="Q214" t="s">
        <v>36</v>
      </c>
      <c r="R214">
        <v>1358.27</v>
      </c>
      <c r="S214">
        <v>1886.86</v>
      </c>
      <c r="T214">
        <v>153</v>
      </c>
      <c r="U214">
        <v>19386.41</v>
      </c>
      <c r="V214">
        <v>3901.74</v>
      </c>
      <c r="W214">
        <v>15484.67</v>
      </c>
      <c r="X214">
        <v>3207.39</v>
      </c>
      <c r="Y214" t="s">
        <v>37</v>
      </c>
      <c r="Z214">
        <v>7547.44</v>
      </c>
      <c r="AA214">
        <v>2114.3599999999997</v>
      </c>
    </row>
    <row r="215" spans="1:27" x14ac:dyDescent="0.3">
      <c r="A215" t="s">
        <v>662</v>
      </c>
      <c r="B215" s="1">
        <v>45269</v>
      </c>
      <c r="C215" t="s">
        <v>663</v>
      </c>
      <c r="D215" t="s">
        <v>315</v>
      </c>
      <c r="E215">
        <v>5</v>
      </c>
      <c r="F215" t="s">
        <v>90</v>
      </c>
      <c r="G215">
        <v>2</v>
      </c>
      <c r="H215" t="s">
        <v>664</v>
      </c>
      <c r="I215" t="s">
        <v>30</v>
      </c>
      <c r="J215">
        <v>34</v>
      </c>
      <c r="K215" t="s">
        <v>31</v>
      </c>
      <c r="L215" t="s">
        <v>81</v>
      </c>
      <c r="M215" s="1">
        <v>44942</v>
      </c>
      <c r="N215" t="s">
        <v>54</v>
      </c>
      <c r="O215" t="s">
        <v>316</v>
      </c>
      <c r="P215" t="s">
        <v>110</v>
      </c>
      <c r="Q215" t="s">
        <v>120</v>
      </c>
      <c r="R215">
        <v>2359.8000000000002</v>
      </c>
      <c r="S215">
        <v>2910.71</v>
      </c>
      <c r="T215">
        <v>211</v>
      </c>
      <c r="U215">
        <v>5099.9399999999996</v>
      </c>
      <c r="V215">
        <v>626.55999999999995</v>
      </c>
      <c r="W215">
        <v>4473.38</v>
      </c>
      <c r="X215">
        <v>399.96</v>
      </c>
      <c r="Y215" t="s">
        <v>47</v>
      </c>
      <c r="Z215">
        <v>14553.55</v>
      </c>
      <c r="AA215">
        <v>2754.5499999999993</v>
      </c>
    </row>
    <row r="216" spans="1:27" x14ac:dyDescent="0.3">
      <c r="A216" t="s">
        <v>665</v>
      </c>
      <c r="B216" s="1">
        <v>45137</v>
      </c>
      <c r="C216" t="s">
        <v>666</v>
      </c>
      <c r="D216" t="s">
        <v>276</v>
      </c>
      <c r="E216">
        <v>3</v>
      </c>
      <c r="F216" t="s">
        <v>28</v>
      </c>
      <c r="G216">
        <v>9</v>
      </c>
      <c r="H216" t="s">
        <v>667</v>
      </c>
      <c r="I216" t="s">
        <v>80</v>
      </c>
      <c r="J216">
        <v>58</v>
      </c>
      <c r="K216" t="s">
        <v>65</v>
      </c>
      <c r="L216" t="s">
        <v>53</v>
      </c>
      <c r="M216" s="1">
        <v>44655</v>
      </c>
      <c r="N216" t="s">
        <v>44</v>
      </c>
      <c r="O216" t="s">
        <v>278</v>
      </c>
      <c r="P216" t="s">
        <v>35</v>
      </c>
      <c r="Q216" t="s">
        <v>111</v>
      </c>
      <c r="R216">
        <v>3479.48</v>
      </c>
      <c r="S216">
        <v>5364.57</v>
      </c>
      <c r="T216">
        <v>41</v>
      </c>
      <c r="U216">
        <v>5066.8900000000003</v>
      </c>
      <c r="V216">
        <v>1133.82</v>
      </c>
      <c r="W216">
        <v>3933.07</v>
      </c>
      <c r="X216">
        <v>678.32</v>
      </c>
      <c r="Y216" t="s">
        <v>47</v>
      </c>
      <c r="Z216">
        <v>16093.71</v>
      </c>
      <c r="AA216">
        <v>5655.2699999999986</v>
      </c>
    </row>
    <row r="217" spans="1:27" x14ac:dyDescent="0.3">
      <c r="A217" t="s">
        <v>668</v>
      </c>
      <c r="B217" s="1">
        <v>45203</v>
      </c>
      <c r="C217" t="s">
        <v>568</v>
      </c>
      <c r="D217" t="s">
        <v>230</v>
      </c>
      <c r="E217">
        <v>2</v>
      </c>
      <c r="F217" t="s">
        <v>51</v>
      </c>
      <c r="G217">
        <v>5</v>
      </c>
      <c r="H217" t="s">
        <v>569</v>
      </c>
      <c r="I217" t="s">
        <v>30</v>
      </c>
      <c r="J217">
        <v>51</v>
      </c>
      <c r="K217" t="s">
        <v>155</v>
      </c>
      <c r="L217" t="s">
        <v>43</v>
      </c>
      <c r="M217" s="1">
        <v>45056</v>
      </c>
      <c r="N217" t="s">
        <v>33</v>
      </c>
      <c r="O217" t="s">
        <v>232</v>
      </c>
      <c r="P217" t="s">
        <v>110</v>
      </c>
      <c r="Q217" t="s">
        <v>46</v>
      </c>
      <c r="R217">
        <v>4570.75</v>
      </c>
      <c r="S217">
        <v>5891.26</v>
      </c>
      <c r="T217">
        <v>285</v>
      </c>
      <c r="U217">
        <v>12829.71</v>
      </c>
      <c r="V217">
        <v>851.59</v>
      </c>
      <c r="W217">
        <v>11978.12</v>
      </c>
      <c r="X217">
        <v>2285.9</v>
      </c>
      <c r="Y217" t="s">
        <v>47</v>
      </c>
      <c r="Z217">
        <v>11782.52</v>
      </c>
      <c r="AA217">
        <v>2641.0200000000004</v>
      </c>
    </row>
    <row r="218" spans="1:27" x14ac:dyDescent="0.3">
      <c r="A218" t="s">
        <v>669</v>
      </c>
      <c r="B218" s="1">
        <v>45215</v>
      </c>
      <c r="C218" t="s">
        <v>670</v>
      </c>
      <c r="D218" t="s">
        <v>354</v>
      </c>
      <c r="E218">
        <v>4</v>
      </c>
      <c r="F218" t="s">
        <v>90</v>
      </c>
      <c r="G218">
        <v>14</v>
      </c>
      <c r="H218" t="s">
        <v>671</v>
      </c>
      <c r="I218" t="s">
        <v>80</v>
      </c>
      <c r="J218">
        <v>21</v>
      </c>
      <c r="K218" t="s">
        <v>53</v>
      </c>
      <c r="L218" t="s">
        <v>66</v>
      </c>
      <c r="M218" s="1">
        <v>45562</v>
      </c>
      <c r="N218" t="s">
        <v>44</v>
      </c>
      <c r="O218" t="s">
        <v>356</v>
      </c>
      <c r="P218" t="s">
        <v>68</v>
      </c>
      <c r="Q218" t="s">
        <v>120</v>
      </c>
      <c r="R218">
        <v>3959.29</v>
      </c>
      <c r="S218">
        <v>5340.73</v>
      </c>
      <c r="T218">
        <v>91</v>
      </c>
      <c r="U218">
        <v>11557.19</v>
      </c>
      <c r="V218">
        <v>333.31</v>
      </c>
      <c r="W218">
        <v>11223.88</v>
      </c>
      <c r="X218">
        <v>3365.19</v>
      </c>
      <c r="Y218" t="s">
        <v>37</v>
      </c>
      <c r="Z218">
        <v>21362.92</v>
      </c>
      <c r="AA218">
        <v>5525.7599999999984</v>
      </c>
    </row>
    <row r="219" spans="1:27" x14ac:dyDescent="0.3">
      <c r="A219" t="s">
        <v>672</v>
      </c>
      <c r="B219" s="1">
        <v>45153</v>
      </c>
      <c r="C219" t="s">
        <v>639</v>
      </c>
      <c r="D219" t="s">
        <v>399</v>
      </c>
      <c r="E219">
        <v>1</v>
      </c>
      <c r="F219" t="s">
        <v>28</v>
      </c>
      <c r="G219">
        <v>2</v>
      </c>
      <c r="H219" t="s">
        <v>640</v>
      </c>
      <c r="I219" t="s">
        <v>80</v>
      </c>
      <c r="J219">
        <v>53</v>
      </c>
      <c r="K219" t="s">
        <v>65</v>
      </c>
      <c r="L219" t="s">
        <v>53</v>
      </c>
      <c r="M219" s="1">
        <v>44739</v>
      </c>
      <c r="N219" t="s">
        <v>33</v>
      </c>
      <c r="O219" t="s">
        <v>400</v>
      </c>
      <c r="P219" t="s">
        <v>94</v>
      </c>
      <c r="Q219" t="s">
        <v>46</v>
      </c>
      <c r="R219">
        <v>828.79</v>
      </c>
      <c r="S219">
        <v>1227.1300000000001</v>
      </c>
      <c r="T219">
        <v>228</v>
      </c>
      <c r="U219">
        <v>4896.7299999999996</v>
      </c>
      <c r="V219">
        <v>1028.95</v>
      </c>
      <c r="W219">
        <v>3867.78</v>
      </c>
      <c r="X219">
        <v>634.62</v>
      </c>
      <c r="Y219" t="s">
        <v>83</v>
      </c>
      <c r="Z219">
        <v>1227.1300000000001</v>
      </c>
      <c r="AA219">
        <v>398.34000000000015</v>
      </c>
    </row>
    <row r="220" spans="1:27" x14ac:dyDescent="0.3">
      <c r="A220" t="s">
        <v>673</v>
      </c>
      <c r="B220" s="1">
        <v>45222</v>
      </c>
      <c r="C220" t="s">
        <v>605</v>
      </c>
      <c r="D220" t="s">
        <v>27</v>
      </c>
      <c r="E220">
        <v>6</v>
      </c>
      <c r="F220" t="s">
        <v>28</v>
      </c>
      <c r="G220">
        <v>7</v>
      </c>
      <c r="H220" t="s">
        <v>606</v>
      </c>
      <c r="I220" t="s">
        <v>80</v>
      </c>
      <c r="J220">
        <v>47</v>
      </c>
      <c r="K220" t="s">
        <v>65</v>
      </c>
      <c r="L220" t="s">
        <v>66</v>
      </c>
      <c r="M220" s="1">
        <v>44901</v>
      </c>
      <c r="N220" t="s">
        <v>44</v>
      </c>
      <c r="O220" t="s">
        <v>34</v>
      </c>
      <c r="P220" t="s">
        <v>35</v>
      </c>
      <c r="Q220" t="s">
        <v>36</v>
      </c>
      <c r="R220">
        <v>4318.8599999999997</v>
      </c>
      <c r="S220">
        <v>4880.6400000000003</v>
      </c>
      <c r="T220">
        <v>149</v>
      </c>
      <c r="U220">
        <v>17967.23</v>
      </c>
      <c r="V220">
        <v>2116.31</v>
      </c>
      <c r="W220">
        <v>15850.92</v>
      </c>
      <c r="X220">
        <v>3233.84</v>
      </c>
      <c r="Y220" t="s">
        <v>37</v>
      </c>
      <c r="Z220">
        <v>29283.840000000004</v>
      </c>
      <c r="AA220">
        <v>3370.6800000000039</v>
      </c>
    </row>
    <row r="221" spans="1:27" x14ac:dyDescent="0.3">
      <c r="A221" t="s">
        <v>674</v>
      </c>
      <c r="B221" s="1">
        <v>44995</v>
      </c>
      <c r="C221" t="s">
        <v>675</v>
      </c>
      <c r="D221" t="s">
        <v>183</v>
      </c>
      <c r="E221">
        <v>2</v>
      </c>
      <c r="F221" t="s">
        <v>51</v>
      </c>
      <c r="G221">
        <v>22</v>
      </c>
      <c r="H221" t="s">
        <v>676</v>
      </c>
      <c r="I221" t="s">
        <v>30</v>
      </c>
      <c r="J221">
        <v>46</v>
      </c>
      <c r="K221" t="s">
        <v>73</v>
      </c>
      <c r="L221" t="s">
        <v>53</v>
      </c>
      <c r="M221" s="1">
        <v>45447</v>
      </c>
      <c r="N221" t="s">
        <v>33</v>
      </c>
      <c r="O221" t="s">
        <v>185</v>
      </c>
      <c r="P221" t="s">
        <v>110</v>
      </c>
      <c r="Q221" t="s">
        <v>36</v>
      </c>
      <c r="R221">
        <v>1358.27</v>
      </c>
      <c r="S221">
        <v>1886.86</v>
      </c>
      <c r="T221">
        <v>153</v>
      </c>
      <c r="U221">
        <v>7959.78</v>
      </c>
      <c r="V221">
        <v>1121.47</v>
      </c>
      <c r="W221">
        <v>6838.31</v>
      </c>
      <c r="X221">
        <v>2564.77</v>
      </c>
      <c r="Y221" t="s">
        <v>37</v>
      </c>
      <c r="Z221">
        <v>3773.72</v>
      </c>
      <c r="AA221">
        <v>1057.1799999999998</v>
      </c>
    </row>
    <row r="222" spans="1:27" x14ac:dyDescent="0.3">
      <c r="A222" t="s">
        <v>677</v>
      </c>
      <c r="B222" s="1">
        <v>45112</v>
      </c>
      <c r="C222" t="s">
        <v>678</v>
      </c>
      <c r="D222" t="s">
        <v>679</v>
      </c>
      <c r="E222">
        <v>4</v>
      </c>
      <c r="F222" t="s">
        <v>51</v>
      </c>
      <c r="G222">
        <v>14</v>
      </c>
      <c r="H222" t="s">
        <v>680</v>
      </c>
      <c r="I222" t="s">
        <v>80</v>
      </c>
      <c r="J222">
        <v>41</v>
      </c>
      <c r="K222" t="s">
        <v>155</v>
      </c>
      <c r="L222" t="s">
        <v>53</v>
      </c>
      <c r="M222" s="1">
        <v>45320</v>
      </c>
      <c r="N222" t="s">
        <v>44</v>
      </c>
      <c r="O222" t="s">
        <v>681</v>
      </c>
      <c r="P222" t="s">
        <v>35</v>
      </c>
      <c r="Q222" t="s">
        <v>46</v>
      </c>
      <c r="R222">
        <v>2024.37</v>
      </c>
      <c r="S222">
        <v>2982.78</v>
      </c>
      <c r="T222">
        <v>11</v>
      </c>
      <c r="U222">
        <v>3394.73</v>
      </c>
      <c r="V222">
        <v>114.47</v>
      </c>
      <c r="W222">
        <v>3280.26</v>
      </c>
      <c r="X222">
        <v>3655.74</v>
      </c>
      <c r="Y222" t="s">
        <v>37</v>
      </c>
      <c r="Z222">
        <v>11931.12</v>
      </c>
      <c r="AA222">
        <v>3833.6400000000012</v>
      </c>
    </row>
    <row r="223" spans="1:27" x14ac:dyDescent="0.3">
      <c r="A223" t="s">
        <v>682</v>
      </c>
      <c r="B223" s="1">
        <v>45247</v>
      </c>
      <c r="C223" t="s">
        <v>431</v>
      </c>
      <c r="D223" t="s">
        <v>226</v>
      </c>
      <c r="E223">
        <v>6</v>
      </c>
      <c r="F223" t="s">
        <v>90</v>
      </c>
      <c r="G223">
        <v>20</v>
      </c>
      <c r="H223" t="s">
        <v>432</v>
      </c>
      <c r="I223" t="s">
        <v>80</v>
      </c>
      <c r="J223">
        <v>34</v>
      </c>
      <c r="K223" t="s">
        <v>73</v>
      </c>
      <c r="L223" t="s">
        <v>32</v>
      </c>
      <c r="M223" s="1">
        <v>45084</v>
      </c>
      <c r="N223" t="s">
        <v>33</v>
      </c>
      <c r="O223" t="s">
        <v>227</v>
      </c>
      <c r="P223" t="s">
        <v>35</v>
      </c>
      <c r="Q223" t="s">
        <v>111</v>
      </c>
      <c r="R223">
        <v>762.02</v>
      </c>
      <c r="S223">
        <v>1161.9100000000001</v>
      </c>
      <c r="T223">
        <v>293</v>
      </c>
      <c r="U223">
        <v>11543.97</v>
      </c>
      <c r="V223">
        <v>187.15</v>
      </c>
      <c r="W223">
        <v>11356.82</v>
      </c>
      <c r="X223">
        <v>1854.96</v>
      </c>
      <c r="Y223" t="s">
        <v>56</v>
      </c>
      <c r="Z223">
        <v>6971.4600000000009</v>
      </c>
      <c r="AA223">
        <v>2399.3400000000006</v>
      </c>
    </row>
    <row r="224" spans="1:27" x14ac:dyDescent="0.3">
      <c r="A224" t="s">
        <v>683</v>
      </c>
      <c r="B224" s="1">
        <v>45278</v>
      </c>
      <c r="C224" t="s">
        <v>684</v>
      </c>
      <c r="D224" t="s">
        <v>122</v>
      </c>
      <c r="E224">
        <v>1</v>
      </c>
      <c r="F224" t="s">
        <v>78</v>
      </c>
      <c r="G224">
        <v>24</v>
      </c>
      <c r="H224" t="s">
        <v>685</v>
      </c>
      <c r="I224" t="s">
        <v>80</v>
      </c>
      <c r="J224">
        <v>40</v>
      </c>
      <c r="K224" t="s">
        <v>73</v>
      </c>
      <c r="L224" t="s">
        <v>43</v>
      </c>
      <c r="M224" s="1">
        <v>45137</v>
      </c>
      <c r="N224" t="s">
        <v>44</v>
      </c>
      <c r="O224" t="s">
        <v>123</v>
      </c>
      <c r="P224" t="s">
        <v>68</v>
      </c>
      <c r="Q224" t="s">
        <v>46</v>
      </c>
      <c r="R224">
        <v>1480.33</v>
      </c>
      <c r="S224">
        <v>1709.3</v>
      </c>
      <c r="T224">
        <v>229</v>
      </c>
      <c r="U224">
        <v>9337.66</v>
      </c>
      <c r="V224">
        <v>1117.58</v>
      </c>
      <c r="W224">
        <v>8220.08</v>
      </c>
      <c r="X224">
        <v>3552.91</v>
      </c>
      <c r="Y224" t="s">
        <v>83</v>
      </c>
      <c r="Z224">
        <v>1709.3</v>
      </c>
      <c r="AA224">
        <v>228.97000000000003</v>
      </c>
    </row>
    <row r="225" spans="1:27" x14ac:dyDescent="0.3">
      <c r="A225" t="s">
        <v>686</v>
      </c>
      <c r="B225" s="1">
        <v>45260</v>
      </c>
      <c r="C225" t="s">
        <v>687</v>
      </c>
      <c r="D225" t="s">
        <v>679</v>
      </c>
      <c r="E225">
        <v>2</v>
      </c>
      <c r="F225" t="s">
        <v>28</v>
      </c>
      <c r="G225">
        <v>12</v>
      </c>
      <c r="H225" t="s">
        <v>688</v>
      </c>
      <c r="I225" t="s">
        <v>30</v>
      </c>
      <c r="J225">
        <v>38</v>
      </c>
      <c r="K225" t="s">
        <v>155</v>
      </c>
      <c r="L225" t="s">
        <v>66</v>
      </c>
      <c r="M225" s="1">
        <v>45015</v>
      </c>
      <c r="N225" t="s">
        <v>33</v>
      </c>
      <c r="O225" t="s">
        <v>681</v>
      </c>
      <c r="P225" t="s">
        <v>35</v>
      </c>
      <c r="Q225" t="s">
        <v>46</v>
      </c>
      <c r="R225">
        <v>2024.37</v>
      </c>
      <c r="S225">
        <v>2982.78</v>
      </c>
      <c r="T225">
        <v>11</v>
      </c>
      <c r="U225">
        <v>15943.38</v>
      </c>
      <c r="V225">
        <v>3509.22</v>
      </c>
      <c r="W225">
        <v>12434.16</v>
      </c>
      <c r="X225">
        <v>2156.34</v>
      </c>
      <c r="Y225" t="s">
        <v>47</v>
      </c>
      <c r="Z225">
        <v>5965.56</v>
      </c>
      <c r="AA225">
        <v>1916.8200000000006</v>
      </c>
    </row>
    <row r="226" spans="1:27" x14ac:dyDescent="0.3">
      <c r="A226" t="s">
        <v>689</v>
      </c>
      <c r="B226" s="1">
        <v>45288</v>
      </c>
      <c r="C226" t="s">
        <v>565</v>
      </c>
      <c r="D226" t="s">
        <v>190</v>
      </c>
      <c r="E226">
        <v>2</v>
      </c>
      <c r="F226" t="s">
        <v>78</v>
      </c>
      <c r="G226">
        <v>17</v>
      </c>
      <c r="H226" t="s">
        <v>566</v>
      </c>
      <c r="I226" t="s">
        <v>80</v>
      </c>
      <c r="J226">
        <v>30</v>
      </c>
      <c r="K226" t="s">
        <v>42</v>
      </c>
      <c r="L226" t="s">
        <v>32</v>
      </c>
      <c r="M226" s="1">
        <v>45608</v>
      </c>
      <c r="N226" t="s">
        <v>54</v>
      </c>
      <c r="O226" t="s">
        <v>191</v>
      </c>
      <c r="P226" t="s">
        <v>68</v>
      </c>
      <c r="Q226" t="s">
        <v>120</v>
      </c>
      <c r="R226">
        <v>2412.25</v>
      </c>
      <c r="S226">
        <v>3672.51</v>
      </c>
      <c r="T226">
        <v>100</v>
      </c>
      <c r="U226">
        <v>9504.49</v>
      </c>
      <c r="V226">
        <v>322.72000000000003</v>
      </c>
      <c r="W226">
        <v>9181.77</v>
      </c>
      <c r="X226">
        <v>2119.89</v>
      </c>
      <c r="Y226" t="s">
        <v>83</v>
      </c>
      <c r="Z226">
        <v>7345.02</v>
      </c>
      <c r="AA226">
        <v>2520.5200000000004</v>
      </c>
    </row>
    <row r="227" spans="1:27" x14ac:dyDescent="0.3">
      <c r="A227" t="s">
        <v>690</v>
      </c>
      <c r="B227" s="1">
        <v>45275</v>
      </c>
      <c r="C227" t="s">
        <v>182</v>
      </c>
      <c r="D227" t="s">
        <v>89</v>
      </c>
      <c r="E227">
        <v>1</v>
      </c>
      <c r="F227" t="s">
        <v>78</v>
      </c>
      <c r="G227">
        <v>2</v>
      </c>
      <c r="H227" t="s">
        <v>184</v>
      </c>
      <c r="I227" t="s">
        <v>80</v>
      </c>
      <c r="J227">
        <v>40</v>
      </c>
      <c r="K227" t="s">
        <v>65</v>
      </c>
      <c r="L227" t="s">
        <v>43</v>
      </c>
      <c r="M227" s="1">
        <v>44995</v>
      </c>
      <c r="N227" t="s">
        <v>33</v>
      </c>
      <c r="O227" t="s">
        <v>93</v>
      </c>
      <c r="P227" t="s">
        <v>94</v>
      </c>
      <c r="Q227" t="s">
        <v>46</v>
      </c>
      <c r="R227">
        <v>1290.44</v>
      </c>
      <c r="S227">
        <v>1756.94</v>
      </c>
      <c r="T227">
        <v>226</v>
      </c>
      <c r="U227">
        <v>8369.3799999999992</v>
      </c>
      <c r="V227">
        <v>771.61</v>
      </c>
      <c r="W227">
        <v>7597.77</v>
      </c>
      <c r="X227">
        <v>3002.26</v>
      </c>
      <c r="Y227" t="s">
        <v>83</v>
      </c>
      <c r="Z227">
        <v>1756.94</v>
      </c>
      <c r="AA227">
        <v>466.5</v>
      </c>
    </row>
    <row r="228" spans="1:27" x14ac:dyDescent="0.3">
      <c r="A228" t="s">
        <v>691</v>
      </c>
      <c r="B228" s="1">
        <v>45257</v>
      </c>
      <c r="C228" t="s">
        <v>554</v>
      </c>
      <c r="D228" t="s">
        <v>223</v>
      </c>
      <c r="E228">
        <v>3</v>
      </c>
      <c r="F228" t="s">
        <v>28</v>
      </c>
      <c r="G228">
        <v>17</v>
      </c>
      <c r="H228" t="s">
        <v>555</v>
      </c>
      <c r="I228" t="s">
        <v>80</v>
      </c>
      <c r="J228">
        <v>33</v>
      </c>
      <c r="K228" t="s">
        <v>31</v>
      </c>
      <c r="L228" t="s">
        <v>108</v>
      </c>
      <c r="M228" s="1">
        <v>45546</v>
      </c>
      <c r="N228" t="s">
        <v>54</v>
      </c>
      <c r="O228" t="s">
        <v>224</v>
      </c>
      <c r="P228" t="s">
        <v>35</v>
      </c>
      <c r="Q228" t="s">
        <v>111</v>
      </c>
      <c r="R228">
        <v>3470.49</v>
      </c>
      <c r="S228">
        <v>5407.89</v>
      </c>
      <c r="T228">
        <v>141</v>
      </c>
      <c r="U228">
        <v>6658.5</v>
      </c>
      <c r="V228">
        <v>358.99</v>
      </c>
      <c r="W228">
        <v>6299.51</v>
      </c>
      <c r="X228">
        <v>3792.9</v>
      </c>
      <c r="Y228" t="s">
        <v>47</v>
      </c>
      <c r="Z228">
        <v>16223.670000000002</v>
      </c>
      <c r="AA228">
        <v>5812.2000000000016</v>
      </c>
    </row>
    <row r="229" spans="1:27" x14ac:dyDescent="0.3">
      <c r="A229" t="s">
        <v>692</v>
      </c>
      <c r="B229" s="1">
        <v>45060</v>
      </c>
      <c r="C229" t="s">
        <v>693</v>
      </c>
      <c r="D229" t="s">
        <v>89</v>
      </c>
      <c r="E229">
        <v>2</v>
      </c>
      <c r="F229" t="s">
        <v>78</v>
      </c>
      <c r="G229">
        <v>18</v>
      </c>
      <c r="H229" t="s">
        <v>694</v>
      </c>
      <c r="I229" t="s">
        <v>30</v>
      </c>
      <c r="J229">
        <v>47</v>
      </c>
      <c r="K229" t="s">
        <v>155</v>
      </c>
      <c r="L229" t="s">
        <v>108</v>
      </c>
      <c r="M229" s="1">
        <v>45417</v>
      </c>
      <c r="N229" t="s">
        <v>44</v>
      </c>
      <c r="O229" t="s">
        <v>93</v>
      </c>
      <c r="P229" t="s">
        <v>94</v>
      </c>
      <c r="Q229" t="s">
        <v>46</v>
      </c>
      <c r="R229">
        <v>1290.44</v>
      </c>
      <c r="S229">
        <v>1756.94</v>
      </c>
      <c r="T229">
        <v>226</v>
      </c>
      <c r="U229">
        <v>6524.3</v>
      </c>
      <c r="V229">
        <v>1074.49</v>
      </c>
      <c r="W229">
        <v>5449.81</v>
      </c>
      <c r="X229">
        <v>2018.63</v>
      </c>
      <c r="Y229" t="s">
        <v>83</v>
      </c>
      <c r="Z229">
        <v>3513.88</v>
      </c>
      <c r="AA229">
        <v>933</v>
      </c>
    </row>
    <row r="230" spans="1:27" x14ac:dyDescent="0.3">
      <c r="A230" t="s">
        <v>695</v>
      </c>
      <c r="B230" s="1">
        <v>45142</v>
      </c>
      <c r="C230" t="s">
        <v>696</v>
      </c>
      <c r="D230" t="s">
        <v>223</v>
      </c>
      <c r="E230">
        <v>6</v>
      </c>
      <c r="F230" t="s">
        <v>51</v>
      </c>
      <c r="G230">
        <v>9</v>
      </c>
      <c r="H230" t="s">
        <v>697</v>
      </c>
      <c r="I230" t="s">
        <v>30</v>
      </c>
      <c r="J230">
        <v>36</v>
      </c>
      <c r="K230" t="s">
        <v>65</v>
      </c>
      <c r="L230" t="s">
        <v>66</v>
      </c>
      <c r="M230" s="1">
        <v>44900</v>
      </c>
      <c r="N230" t="s">
        <v>54</v>
      </c>
      <c r="O230" t="s">
        <v>224</v>
      </c>
      <c r="P230" t="s">
        <v>35</v>
      </c>
      <c r="Q230" t="s">
        <v>111</v>
      </c>
      <c r="R230">
        <v>3470.49</v>
      </c>
      <c r="S230">
        <v>5407.89</v>
      </c>
      <c r="T230">
        <v>141</v>
      </c>
      <c r="U230">
        <v>5920.34</v>
      </c>
      <c r="V230">
        <v>1033.0999999999999</v>
      </c>
      <c r="W230">
        <v>4887.24</v>
      </c>
      <c r="X230">
        <v>3665.7</v>
      </c>
      <c r="Y230" t="s">
        <v>56</v>
      </c>
      <c r="Z230">
        <v>32447.340000000004</v>
      </c>
      <c r="AA230">
        <v>11624.400000000003</v>
      </c>
    </row>
    <row r="231" spans="1:27" x14ac:dyDescent="0.3">
      <c r="A231" t="s">
        <v>698</v>
      </c>
      <c r="B231" s="1">
        <v>45043</v>
      </c>
      <c r="C231" t="s">
        <v>699</v>
      </c>
      <c r="D231" t="s">
        <v>236</v>
      </c>
      <c r="E231">
        <v>4</v>
      </c>
      <c r="F231" t="s">
        <v>51</v>
      </c>
      <c r="G231">
        <v>10</v>
      </c>
      <c r="H231" t="s">
        <v>700</v>
      </c>
      <c r="I231" t="s">
        <v>30</v>
      </c>
      <c r="J231">
        <v>48</v>
      </c>
      <c r="K231" t="s">
        <v>60</v>
      </c>
      <c r="L231" t="s">
        <v>43</v>
      </c>
      <c r="M231" s="1">
        <v>44989</v>
      </c>
      <c r="N231" t="s">
        <v>44</v>
      </c>
      <c r="O231" t="s">
        <v>238</v>
      </c>
      <c r="P231" t="s">
        <v>68</v>
      </c>
      <c r="Q231" t="s">
        <v>120</v>
      </c>
      <c r="R231">
        <v>3957.37</v>
      </c>
      <c r="S231">
        <v>5045.3500000000004</v>
      </c>
      <c r="T231">
        <v>227</v>
      </c>
      <c r="U231">
        <v>15797.35</v>
      </c>
      <c r="V231">
        <v>2105.83</v>
      </c>
      <c r="W231">
        <v>13691.52</v>
      </c>
      <c r="X231">
        <v>3759.36</v>
      </c>
      <c r="Y231" t="s">
        <v>83</v>
      </c>
      <c r="Z231">
        <v>20181.400000000001</v>
      </c>
      <c r="AA231">
        <v>4351.9200000000019</v>
      </c>
    </row>
    <row r="232" spans="1:27" x14ac:dyDescent="0.3">
      <c r="A232" t="s">
        <v>701</v>
      </c>
      <c r="B232" s="1">
        <v>45145</v>
      </c>
      <c r="C232" t="s">
        <v>407</v>
      </c>
      <c r="D232" t="s">
        <v>122</v>
      </c>
      <c r="E232">
        <v>2</v>
      </c>
      <c r="F232" t="s">
        <v>51</v>
      </c>
      <c r="G232">
        <v>14</v>
      </c>
      <c r="H232" t="s">
        <v>409</v>
      </c>
      <c r="I232" t="s">
        <v>80</v>
      </c>
      <c r="J232">
        <v>22</v>
      </c>
      <c r="K232" t="s">
        <v>31</v>
      </c>
      <c r="L232" t="s">
        <v>81</v>
      </c>
      <c r="M232" s="1">
        <v>44661</v>
      </c>
      <c r="N232" t="s">
        <v>44</v>
      </c>
      <c r="O232" t="s">
        <v>123</v>
      </c>
      <c r="P232" t="s">
        <v>68</v>
      </c>
      <c r="Q232" t="s">
        <v>46</v>
      </c>
      <c r="R232">
        <v>1480.33</v>
      </c>
      <c r="S232">
        <v>1709.3</v>
      </c>
      <c r="T232">
        <v>229</v>
      </c>
      <c r="U232">
        <v>19037.96</v>
      </c>
      <c r="V232">
        <v>754.88</v>
      </c>
      <c r="W232">
        <v>18283.080000000002</v>
      </c>
      <c r="X232">
        <v>2165.79</v>
      </c>
      <c r="Y232" t="s">
        <v>47</v>
      </c>
      <c r="Z232">
        <v>3418.6</v>
      </c>
      <c r="AA232">
        <v>457.94000000000005</v>
      </c>
    </row>
    <row r="233" spans="1:27" x14ac:dyDescent="0.3">
      <c r="A233" t="s">
        <v>702</v>
      </c>
      <c r="B233" s="1">
        <v>45246</v>
      </c>
      <c r="C233" t="s">
        <v>182</v>
      </c>
      <c r="D233" t="s">
        <v>322</v>
      </c>
      <c r="E233">
        <v>3</v>
      </c>
      <c r="F233" t="s">
        <v>90</v>
      </c>
      <c r="G233">
        <v>16</v>
      </c>
      <c r="H233" t="s">
        <v>184</v>
      </c>
      <c r="I233" t="s">
        <v>80</v>
      </c>
      <c r="J233">
        <v>40</v>
      </c>
      <c r="K233" t="s">
        <v>65</v>
      </c>
      <c r="L233" t="s">
        <v>43</v>
      </c>
      <c r="M233" s="1">
        <v>44995</v>
      </c>
      <c r="N233" t="s">
        <v>33</v>
      </c>
      <c r="O233" t="s">
        <v>324</v>
      </c>
      <c r="P233" t="s">
        <v>35</v>
      </c>
      <c r="Q233" t="s">
        <v>111</v>
      </c>
      <c r="R233">
        <v>3696.72</v>
      </c>
      <c r="S233">
        <v>4397.13</v>
      </c>
      <c r="T233">
        <v>92</v>
      </c>
      <c r="U233">
        <v>14606.97</v>
      </c>
      <c r="V233">
        <v>2226.4499999999998</v>
      </c>
      <c r="W233">
        <v>12380.52</v>
      </c>
      <c r="X233">
        <v>391.73</v>
      </c>
      <c r="Y233" t="s">
        <v>47</v>
      </c>
      <c r="Z233">
        <v>13191.39</v>
      </c>
      <c r="AA233">
        <v>2101.2300000000009</v>
      </c>
    </row>
    <row r="234" spans="1:27" x14ac:dyDescent="0.3">
      <c r="A234" t="s">
        <v>703</v>
      </c>
      <c r="B234" s="1">
        <v>45071</v>
      </c>
      <c r="C234" t="s">
        <v>704</v>
      </c>
      <c r="D234" t="s">
        <v>77</v>
      </c>
      <c r="E234">
        <v>3</v>
      </c>
      <c r="F234" t="s">
        <v>78</v>
      </c>
      <c r="G234">
        <v>9</v>
      </c>
      <c r="H234" t="s">
        <v>705</v>
      </c>
      <c r="I234" t="s">
        <v>80</v>
      </c>
      <c r="J234">
        <v>39</v>
      </c>
      <c r="K234" t="s">
        <v>92</v>
      </c>
      <c r="L234" t="s">
        <v>66</v>
      </c>
      <c r="M234" s="1">
        <v>45303</v>
      </c>
      <c r="N234" t="s">
        <v>54</v>
      </c>
      <c r="O234" t="s">
        <v>82</v>
      </c>
      <c r="P234" t="s">
        <v>35</v>
      </c>
      <c r="Q234" t="s">
        <v>46</v>
      </c>
      <c r="R234">
        <v>1607.82</v>
      </c>
      <c r="S234">
        <v>2197.14</v>
      </c>
      <c r="T234">
        <v>27</v>
      </c>
      <c r="U234">
        <v>4598.91</v>
      </c>
      <c r="V234">
        <v>905.45</v>
      </c>
      <c r="W234">
        <v>3693.46</v>
      </c>
      <c r="X234">
        <v>3000</v>
      </c>
      <c r="Y234" t="s">
        <v>56</v>
      </c>
      <c r="Z234">
        <v>6591.42</v>
      </c>
      <c r="AA234">
        <v>1767.9599999999998</v>
      </c>
    </row>
    <row r="235" spans="1:27" x14ac:dyDescent="0.3">
      <c r="A235" t="s">
        <v>706</v>
      </c>
      <c r="B235" s="1">
        <v>45000</v>
      </c>
      <c r="C235" t="s">
        <v>562</v>
      </c>
      <c r="D235" t="s">
        <v>679</v>
      </c>
      <c r="E235">
        <v>2</v>
      </c>
      <c r="F235" t="s">
        <v>28</v>
      </c>
      <c r="G235">
        <v>0</v>
      </c>
      <c r="H235" t="s">
        <v>563</v>
      </c>
      <c r="I235" t="s">
        <v>30</v>
      </c>
      <c r="J235">
        <v>46</v>
      </c>
      <c r="K235" t="s">
        <v>31</v>
      </c>
      <c r="L235" t="s">
        <v>53</v>
      </c>
      <c r="M235" s="1">
        <v>45409</v>
      </c>
      <c r="N235" t="s">
        <v>44</v>
      </c>
      <c r="O235" t="s">
        <v>681</v>
      </c>
      <c r="P235" t="s">
        <v>35</v>
      </c>
      <c r="Q235" t="s">
        <v>46</v>
      </c>
      <c r="R235">
        <v>2024.37</v>
      </c>
      <c r="S235">
        <v>2982.78</v>
      </c>
      <c r="T235">
        <v>11</v>
      </c>
      <c r="U235">
        <v>541.29</v>
      </c>
      <c r="V235">
        <v>61.94</v>
      </c>
      <c r="W235">
        <v>479.35</v>
      </c>
      <c r="X235">
        <v>490.81</v>
      </c>
      <c r="Y235" t="s">
        <v>56</v>
      </c>
      <c r="Z235">
        <v>5965.56</v>
      </c>
      <c r="AA235">
        <v>1916.8200000000006</v>
      </c>
    </row>
    <row r="236" spans="1:27" x14ac:dyDescent="0.3">
      <c r="A236" t="s">
        <v>707</v>
      </c>
      <c r="B236" s="1">
        <v>45025</v>
      </c>
      <c r="C236" t="s">
        <v>708</v>
      </c>
      <c r="D236" t="s">
        <v>527</v>
      </c>
      <c r="E236">
        <v>2</v>
      </c>
      <c r="F236" t="s">
        <v>78</v>
      </c>
      <c r="G236">
        <v>18</v>
      </c>
      <c r="H236" t="s">
        <v>709</v>
      </c>
      <c r="I236" t="s">
        <v>80</v>
      </c>
      <c r="J236">
        <v>45</v>
      </c>
      <c r="K236" t="s">
        <v>155</v>
      </c>
      <c r="L236" t="s">
        <v>53</v>
      </c>
      <c r="M236" s="1">
        <v>45424</v>
      </c>
      <c r="N236" t="s">
        <v>54</v>
      </c>
      <c r="O236" t="s">
        <v>528</v>
      </c>
      <c r="P236" t="s">
        <v>94</v>
      </c>
      <c r="Q236" t="s">
        <v>46</v>
      </c>
      <c r="R236">
        <v>2643.84</v>
      </c>
      <c r="S236">
        <v>3790.58</v>
      </c>
      <c r="T236">
        <v>63</v>
      </c>
      <c r="U236">
        <v>9992.52</v>
      </c>
      <c r="V236">
        <v>682.01</v>
      </c>
      <c r="W236">
        <v>9310.51</v>
      </c>
      <c r="X236">
        <v>1833.07</v>
      </c>
      <c r="Y236" t="s">
        <v>83</v>
      </c>
      <c r="Z236">
        <v>7581.16</v>
      </c>
      <c r="AA236">
        <v>2293.4799999999996</v>
      </c>
    </row>
    <row r="237" spans="1:27" x14ac:dyDescent="0.3">
      <c r="A237" t="s">
        <v>710</v>
      </c>
      <c r="B237" s="1">
        <v>45239</v>
      </c>
      <c r="C237" t="s">
        <v>524</v>
      </c>
      <c r="D237" t="s">
        <v>322</v>
      </c>
      <c r="E237">
        <v>3</v>
      </c>
      <c r="F237" t="s">
        <v>90</v>
      </c>
      <c r="G237">
        <v>17</v>
      </c>
      <c r="H237" t="s">
        <v>525</v>
      </c>
      <c r="I237" t="s">
        <v>80</v>
      </c>
      <c r="J237">
        <v>31</v>
      </c>
      <c r="K237" t="s">
        <v>65</v>
      </c>
      <c r="L237" t="s">
        <v>108</v>
      </c>
      <c r="M237" s="1">
        <v>45389</v>
      </c>
      <c r="N237" t="s">
        <v>44</v>
      </c>
      <c r="O237" t="s">
        <v>324</v>
      </c>
      <c r="P237" t="s">
        <v>35</v>
      </c>
      <c r="Q237" t="s">
        <v>111</v>
      </c>
      <c r="R237">
        <v>3696.72</v>
      </c>
      <c r="S237">
        <v>4397.13</v>
      </c>
      <c r="T237">
        <v>92</v>
      </c>
      <c r="U237">
        <v>7317.16</v>
      </c>
      <c r="V237">
        <v>1458.1</v>
      </c>
      <c r="W237">
        <v>5859.06</v>
      </c>
      <c r="X237">
        <v>3583.5</v>
      </c>
      <c r="Y237" t="s">
        <v>83</v>
      </c>
      <c r="Z237">
        <v>13191.39</v>
      </c>
      <c r="AA237">
        <v>2101.2300000000009</v>
      </c>
    </row>
    <row r="238" spans="1:27" x14ac:dyDescent="0.3">
      <c r="A238" t="s">
        <v>711</v>
      </c>
      <c r="B238" s="1">
        <v>45205</v>
      </c>
      <c r="C238" t="s">
        <v>712</v>
      </c>
      <c r="D238" t="s">
        <v>163</v>
      </c>
      <c r="E238">
        <v>6</v>
      </c>
      <c r="F238" t="s">
        <v>28</v>
      </c>
      <c r="G238">
        <v>17</v>
      </c>
      <c r="H238" t="s">
        <v>713</v>
      </c>
      <c r="I238" t="s">
        <v>80</v>
      </c>
      <c r="J238">
        <v>47</v>
      </c>
      <c r="K238" t="s">
        <v>53</v>
      </c>
      <c r="L238" t="s">
        <v>43</v>
      </c>
      <c r="M238" s="1">
        <v>45085</v>
      </c>
      <c r="N238" t="s">
        <v>33</v>
      </c>
      <c r="O238" t="s">
        <v>165</v>
      </c>
      <c r="P238" t="s">
        <v>94</v>
      </c>
      <c r="Q238" t="s">
        <v>120</v>
      </c>
      <c r="R238">
        <v>1733.92</v>
      </c>
      <c r="S238">
        <v>2099.92</v>
      </c>
      <c r="T238">
        <v>175</v>
      </c>
      <c r="U238">
        <v>19010.349999999999</v>
      </c>
      <c r="V238">
        <v>4312.88</v>
      </c>
      <c r="W238">
        <v>14697.47</v>
      </c>
      <c r="X238">
        <v>4929.16</v>
      </c>
      <c r="Y238" t="s">
        <v>56</v>
      </c>
      <c r="Z238">
        <v>12599.52</v>
      </c>
      <c r="AA238">
        <v>2196</v>
      </c>
    </row>
    <row r="239" spans="1:27" x14ac:dyDescent="0.3">
      <c r="A239" t="s">
        <v>714</v>
      </c>
      <c r="B239" s="1">
        <v>45056</v>
      </c>
      <c r="C239" t="s">
        <v>715</v>
      </c>
      <c r="D239" t="s">
        <v>125</v>
      </c>
      <c r="E239">
        <v>4</v>
      </c>
      <c r="F239" t="s">
        <v>90</v>
      </c>
      <c r="G239">
        <v>4</v>
      </c>
      <c r="H239" t="s">
        <v>716</v>
      </c>
      <c r="I239" t="s">
        <v>80</v>
      </c>
      <c r="J239">
        <v>31</v>
      </c>
      <c r="K239" t="s">
        <v>92</v>
      </c>
      <c r="L239" t="s">
        <v>81</v>
      </c>
      <c r="M239" s="1">
        <v>45660</v>
      </c>
      <c r="N239" t="s">
        <v>33</v>
      </c>
      <c r="O239" t="s">
        <v>126</v>
      </c>
      <c r="P239" t="s">
        <v>68</v>
      </c>
      <c r="Q239" t="s">
        <v>120</v>
      </c>
      <c r="R239">
        <v>4301.32</v>
      </c>
      <c r="S239">
        <v>6870.07</v>
      </c>
      <c r="T239">
        <v>243</v>
      </c>
      <c r="U239">
        <v>17132.63</v>
      </c>
      <c r="V239">
        <v>2946.78</v>
      </c>
      <c r="W239">
        <v>14185.85</v>
      </c>
      <c r="X239">
        <v>1600.08</v>
      </c>
      <c r="Y239" t="s">
        <v>56</v>
      </c>
      <c r="Z239">
        <v>27480.28</v>
      </c>
      <c r="AA239">
        <v>10275</v>
      </c>
    </row>
    <row r="240" spans="1:27" x14ac:dyDescent="0.3">
      <c r="A240" t="s">
        <v>717</v>
      </c>
      <c r="B240" s="1">
        <v>45176</v>
      </c>
      <c r="C240" t="s">
        <v>718</v>
      </c>
      <c r="D240" t="s">
        <v>183</v>
      </c>
      <c r="E240">
        <v>2</v>
      </c>
      <c r="F240" t="s">
        <v>51</v>
      </c>
      <c r="G240">
        <v>0</v>
      </c>
      <c r="H240" t="s">
        <v>719</v>
      </c>
      <c r="I240" t="s">
        <v>30</v>
      </c>
      <c r="J240">
        <v>47</v>
      </c>
      <c r="K240" t="s">
        <v>155</v>
      </c>
      <c r="L240" t="s">
        <v>108</v>
      </c>
      <c r="M240" s="1">
        <v>44932</v>
      </c>
      <c r="N240" t="s">
        <v>33</v>
      </c>
      <c r="O240" t="s">
        <v>185</v>
      </c>
      <c r="P240" t="s">
        <v>110</v>
      </c>
      <c r="Q240" t="s">
        <v>36</v>
      </c>
      <c r="R240">
        <v>1358.27</v>
      </c>
      <c r="S240">
        <v>1886.86</v>
      </c>
      <c r="T240">
        <v>153</v>
      </c>
      <c r="U240">
        <v>19633.189999999999</v>
      </c>
      <c r="V240">
        <v>2550.64</v>
      </c>
      <c r="W240">
        <v>17082.55</v>
      </c>
      <c r="X240">
        <v>2772.07</v>
      </c>
      <c r="Y240" t="s">
        <v>83</v>
      </c>
      <c r="Z240">
        <v>3773.72</v>
      </c>
      <c r="AA240">
        <v>1057.1799999999998</v>
      </c>
    </row>
    <row r="241" spans="1:27" x14ac:dyDescent="0.3">
      <c r="A241" t="s">
        <v>720</v>
      </c>
      <c r="B241" s="1">
        <v>44994</v>
      </c>
      <c r="C241" t="s">
        <v>721</v>
      </c>
      <c r="D241" t="s">
        <v>527</v>
      </c>
      <c r="E241">
        <v>6</v>
      </c>
      <c r="F241" t="s">
        <v>78</v>
      </c>
      <c r="G241">
        <v>1</v>
      </c>
      <c r="H241" t="s">
        <v>722</v>
      </c>
      <c r="I241" t="s">
        <v>80</v>
      </c>
      <c r="J241">
        <v>24</v>
      </c>
      <c r="K241" t="s">
        <v>42</v>
      </c>
      <c r="L241" t="s">
        <v>53</v>
      </c>
      <c r="M241" s="1">
        <v>45227</v>
      </c>
      <c r="N241" t="s">
        <v>44</v>
      </c>
      <c r="O241" t="s">
        <v>528</v>
      </c>
      <c r="P241" t="s">
        <v>94</v>
      </c>
      <c r="Q241" t="s">
        <v>46</v>
      </c>
      <c r="R241">
        <v>2643.84</v>
      </c>
      <c r="S241">
        <v>3790.58</v>
      </c>
      <c r="T241">
        <v>63</v>
      </c>
      <c r="U241">
        <v>2741.17</v>
      </c>
      <c r="V241">
        <v>208.58</v>
      </c>
      <c r="W241">
        <v>2532.59</v>
      </c>
      <c r="X241">
        <v>3285.15</v>
      </c>
      <c r="Y241" t="s">
        <v>83</v>
      </c>
      <c r="Z241">
        <v>22743.48</v>
      </c>
      <c r="AA241">
        <v>6880.4399999999987</v>
      </c>
    </row>
    <row r="242" spans="1:27" x14ac:dyDescent="0.3">
      <c r="A242" t="s">
        <v>723</v>
      </c>
      <c r="B242" s="1">
        <v>45239</v>
      </c>
      <c r="C242" t="s">
        <v>585</v>
      </c>
      <c r="D242" t="s">
        <v>287</v>
      </c>
      <c r="E242">
        <v>1</v>
      </c>
      <c r="F242" t="s">
        <v>78</v>
      </c>
      <c r="G242">
        <v>8</v>
      </c>
      <c r="H242" t="s">
        <v>586</v>
      </c>
      <c r="I242" t="s">
        <v>80</v>
      </c>
      <c r="J242">
        <v>36</v>
      </c>
      <c r="K242" t="s">
        <v>73</v>
      </c>
      <c r="L242" t="s">
        <v>43</v>
      </c>
      <c r="M242" s="1">
        <v>45195</v>
      </c>
      <c r="N242" t="s">
        <v>54</v>
      </c>
      <c r="O242" t="s">
        <v>288</v>
      </c>
      <c r="P242" t="s">
        <v>68</v>
      </c>
      <c r="Q242" t="s">
        <v>46</v>
      </c>
      <c r="R242">
        <v>2345.7800000000002</v>
      </c>
      <c r="S242">
        <v>2891.96</v>
      </c>
      <c r="T242">
        <v>122</v>
      </c>
      <c r="U242">
        <v>18082.91</v>
      </c>
      <c r="V242">
        <v>509.59</v>
      </c>
      <c r="W242">
        <v>17573.32</v>
      </c>
      <c r="X242">
        <v>1898.49</v>
      </c>
      <c r="Y242" t="s">
        <v>56</v>
      </c>
      <c r="Z242">
        <v>2891.96</v>
      </c>
      <c r="AA242">
        <v>546.17999999999984</v>
      </c>
    </row>
    <row r="243" spans="1:27" x14ac:dyDescent="0.3">
      <c r="A243" t="s">
        <v>724</v>
      </c>
      <c r="B243" s="1">
        <v>44983</v>
      </c>
      <c r="C243" t="s">
        <v>424</v>
      </c>
      <c r="D243" t="s">
        <v>230</v>
      </c>
      <c r="E243">
        <v>3</v>
      </c>
      <c r="F243" t="s">
        <v>78</v>
      </c>
      <c r="G243">
        <v>18</v>
      </c>
      <c r="H243" t="s">
        <v>425</v>
      </c>
      <c r="I243" t="s">
        <v>30</v>
      </c>
      <c r="J243">
        <v>53</v>
      </c>
      <c r="K243" t="s">
        <v>92</v>
      </c>
      <c r="L243" t="s">
        <v>53</v>
      </c>
      <c r="M243" s="1">
        <v>44905</v>
      </c>
      <c r="N243" t="s">
        <v>33</v>
      </c>
      <c r="O243" t="s">
        <v>232</v>
      </c>
      <c r="P243" t="s">
        <v>110</v>
      </c>
      <c r="Q243" t="s">
        <v>46</v>
      </c>
      <c r="R243">
        <v>4570.75</v>
      </c>
      <c r="S243">
        <v>5891.26</v>
      </c>
      <c r="T243">
        <v>285</v>
      </c>
      <c r="U243">
        <v>2177.89</v>
      </c>
      <c r="V243">
        <v>499.31</v>
      </c>
      <c r="W243">
        <v>1678.58</v>
      </c>
      <c r="X243">
        <v>4120.21</v>
      </c>
      <c r="Y243" t="s">
        <v>47</v>
      </c>
      <c r="Z243">
        <v>17673.78</v>
      </c>
      <c r="AA243">
        <v>3961.5300000000007</v>
      </c>
    </row>
    <row r="244" spans="1:27" x14ac:dyDescent="0.3">
      <c r="A244" t="s">
        <v>725</v>
      </c>
      <c r="B244" s="1">
        <v>45054</v>
      </c>
      <c r="C244" t="s">
        <v>726</v>
      </c>
      <c r="D244" t="s">
        <v>27</v>
      </c>
      <c r="E244">
        <v>3</v>
      </c>
      <c r="F244" t="s">
        <v>78</v>
      </c>
      <c r="G244">
        <v>25</v>
      </c>
      <c r="H244" t="s">
        <v>727</v>
      </c>
      <c r="I244" t="s">
        <v>80</v>
      </c>
      <c r="J244">
        <v>45</v>
      </c>
      <c r="K244" t="s">
        <v>42</v>
      </c>
      <c r="L244" t="s">
        <v>53</v>
      </c>
      <c r="M244" s="1">
        <v>44643</v>
      </c>
      <c r="N244" t="s">
        <v>44</v>
      </c>
      <c r="O244" t="s">
        <v>34</v>
      </c>
      <c r="P244" t="s">
        <v>35</v>
      </c>
      <c r="Q244" t="s">
        <v>36</v>
      </c>
      <c r="R244">
        <v>4318.8599999999997</v>
      </c>
      <c r="S244">
        <v>4880.6400000000003</v>
      </c>
      <c r="T244">
        <v>149</v>
      </c>
      <c r="U244">
        <v>717.14</v>
      </c>
      <c r="V244">
        <v>97.56</v>
      </c>
      <c r="W244">
        <v>619.58000000000004</v>
      </c>
      <c r="X244">
        <v>1232.76</v>
      </c>
      <c r="Y244" t="s">
        <v>37</v>
      </c>
      <c r="Z244">
        <v>14641.920000000002</v>
      </c>
      <c r="AA244">
        <v>1685.340000000002</v>
      </c>
    </row>
    <row r="245" spans="1:27" x14ac:dyDescent="0.3">
      <c r="A245" t="s">
        <v>728</v>
      </c>
      <c r="B245" s="1">
        <v>44951</v>
      </c>
      <c r="C245" t="s">
        <v>729</v>
      </c>
      <c r="D245" t="s">
        <v>207</v>
      </c>
      <c r="E245">
        <v>2</v>
      </c>
      <c r="F245" t="s">
        <v>51</v>
      </c>
      <c r="G245">
        <v>11</v>
      </c>
      <c r="H245" t="s">
        <v>730</v>
      </c>
      <c r="I245" t="s">
        <v>80</v>
      </c>
      <c r="J245">
        <v>41</v>
      </c>
      <c r="K245" t="s">
        <v>31</v>
      </c>
      <c r="L245" t="s">
        <v>43</v>
      </c>
      <c r="M245" s="1">
        <v>45504</v>
      </c>
      <c r="N245" t="s">
        <v>54</v>
      </c>
      <c r="O245" t="s">
        <v>209</v>
      </c>
      <c r="P245" t="s">
        <v>35</v>
      </c>
      <c r="Q245" t="s">
        <v>46</v>
      </c>
      <c r="R245">
        <v>4764.59</v>
      </c>
      <c r="S245">
        <v>5703.68</v>
      </c>
      <c r="T245">
        <v>87</v>
      </c>
      <c r="U245">
        <v>10646.65</v>
      </c>
      <c r="V245">
        <v>2293.46</v>
      </c>
      <c r="W245">
        <v>8353.19</v>
      </c>
      <c r="X245">
        <v>3344.29</v>
      </c>
      <c r="Y245" t="s">
        <v>37</v>
      </c>
      <c r="Z245">
        <v>11407.36</v>
      </c>
      <c r="AA245">
        <v>1878.1800000000003</v>
      </c>
    </row>
    <row r="246" spans="1:27" x14ac:dyDescent="0.3">
      <c r="A246" t="s">
        <v>731</v>
      </c>
      <c r="B246" s="1">
        <v>45184</v>
      </c>
      <c r="C246" t="s">
        <v>732</v>
      </c>
      <c r="D246" t="s">
        <v>190</v>
      </c>
      <c r="E246">
        <v>5</v>
      </c>
      <c r="F246" t="s">
        <v>51</v>
      </c>
      <c r="G246">
        <v>5</v>
      </c>
      <c r="H246" t="s">
        <v>733</v>
      </c>
      <c r="I246" t="s">
        <v>80</v>
      </c>
      <c r="J246">
        <v>32</v>
      </c>
      <c r="K246" t="s">
        <v>73</v>
      </c>
      <c r="L246" t="s">
        <v>32</v>
      </c>
      <c r="M246" s="1">
        <v>45095</v>
      </c>
      <c r="N246" t="s">
        <v>54</v>
      </c>
      <c r="O246" t="s">
        <v>191</v>
      </c>
      <c r="P246" t="s">
        <v>68</v>
      </c>
      <c r="Q246" t="s">
        <v>120</v>
      </c>
      <c r="R246">
        <v>2412.25</v>
      </c>
      <c r="S246">
        <v>3672.51</v>
      </c>
      <c r="T246">
        <v>100</v>
      </c>
      <c r="U246">
        <v>1083.94</v>
      </c>
      <c r="V246">
        <v>134.38</v>
      </c>
      <c r="W246">
        <v>949.56</v>
      </c>
      <c r="X246">
        <v>1749.41</v>
      </c>
      <c r="Y246" t="s">
        <v>83</v>
      </c>
      <c r="Z246">
        <v>18362.550000000003</v>
      </c>
      <c r="AA246">
        <v>6301.3000000000011</v>
      </c>
    </row>
    <row r="247" spans="1:27" x14ac:dyDescent="0.3">
      <c r="A247" t="s">
        <v>734</v>
      </c>
      <c r="B247" s="1">
        <v>45275</v>
      </c>
      <c r="C247" t="s">
        <v>544</v>
      </c>
      <c r="D247" t="s">
        <v>50</v>
      </c>
      <c r="E247">
        <v>6</v>
      </c>
      <c r="F247" t="s">
        <v>78</v>
      </c>
      <c r="G247">
        <v>12</v>
      </c>
      <c r="H247" t="s">
        <v>545</v>
      </c>
      <c r="I247" t="s">
        <v>30</v>
      </c>
      <c r="J247">
        <v>24</v>
      </c>
      <c r="K247" t="s">
        <v>60</v>
      </c>
      <c r="L247" t="s">
        <v>32</v>
      </c>
      <c r="M247" s="1">
        <v>44885</v>
      </c>
      <c r="N247" t="s">
        <v>33</v>
      </c>
      <c r="O247" t="s">
        <v>55</v>
      </c>
      <c r="P247" t="s">
        <v>35</v>
      </c>
      <c r="Q247" t="s">
        <v>46</v>
      </c>
      <c r="R247">
        <v>3612.18</v>
      </c>
      <c r="S247">
        <v>3996.91</v>
      </c>
      <c r="T247">
        <v>92</v>
      </c>
      <c r="U247">
        <v>13921.4</v>
      </c>
      <c r="V247">
        <v>544.63</v>
      </c>
      <c r="W247">
        <v>13376.77</v>
      </c>
      <c r="X247">
        <v>3766.79</v>
      </c>
      <c r="Y247" t="s">
        <v>37</v>
      </c>
      <c r="Z247">
        <v>23981.46</v>
      </c>
      <c r="AA247">
        <v>2308.38</v>
      </c>
    </row>
    <row r="248" spans="1:27" x14ac:dyDescent="0.3">
      <c r="A248" t="s">
        <v>735</v>
      </c>
      <c r="B248" s="1">
        <v>45120</v>
      </c>
      <c r="C248" t="s">
        <v>736</v>
      </c>
      <c r="D248" t="s">
        <v>117</v>
      </c>
      <c r="E248">
        <v>4</v>
      </c>
      <c r="F248" t="s">
        <v>90</v>
      </c>
      <c r="G248">
        <v>7</v>
      </c>
      <c r="H248" t="s">
        <v>737</v>
      </c>
      <c r="I248" t="s">
        <v>30</v>
      </c>
      <c r="J248">
        <v>37</v>
      </c>
      <c r="K248" t="s">
        <v>65</v>
      </c>
      <c r="L248" t="s">
        <v>43</v>
      </c>
      <c r="M248" s="1">
        <v>45600</v>
      </c>
      <c r="N248" t="s">
        <v>54</v>
      </c>
      <c r="O248" t="s">
        <v>119</v>
      </c>
      <c r="P248" t="s">
        <v>110</v>
      </c>
      <c r="Q248" t="s">
        <v>120</v>
      </c>
      <c r="R248">
        <v>1390.81</v>
      </c>
      <c r="S248">
        <v>1874.61</v>
      </c>
      <c r="T248">
        <v>262</v>
      </c>
      <c r="U248">
        <v>4595.47</v>
      </c>
      <c r="V248">
        <v>209.05</v>
      </c>
      <c r="W248">
        <v>4386.42</v>
      </c>
      <c r="X248">
        <v>232.51</v>
      </c>
      <c r="Y248" t="s">
        <v>56</v>
      </c>
      <c r="Z248">
        <v>7498.44</v>
      </c>
      <c r="AA248">
        <v>1935.1999999999998</v>
      </c>
    </row>
    <row r="249" spans="1:27" x14ac:dyDescent="0.3">
      <c r="A249" t="s">
        <v>738</v>
      </c>
      <c r="B249" s="1">
        <v>45236</v>
      </c>
      <c r="C249" t="s">
        <v>481</v>
      </c>
      <c r="D249" t="s">
        <v>342</v>
      </c>
      <c r="E249">
        <v>1</v>
      </c>
      <c r="F249" t="s">
        <v>78</v>
      </c>
      <c r="G249">
        <v>24</v>
      </c>
      <c r="H249" t="s">
        <v>482</v>
      </c>
      <c r="I249" t="s">
        <v>80</v>
      </c>
      <c r="J249">
        <v>25</v>
      </c>
      <c r="K249" t="s">
        <v>53</v>
      </c>
      <c r="L249" t="s">
        <v>108</v>
      </c>
      <c r="M249" s="1">
        <v>45315</v>
      </c>
      <c r="N249" t="s">
        <v>33</v>
      </c>
      <c r="O249" t="s">
        <v>344</v>
      </c>
      <c r="P249" t="s">
        <v>35</v>
      </c>
      <c r="Q249" t="s">
        <v>120</v>
      </c>
      <c r="R249">
        <v>1830.22</v>
      </c>
      <c r="S249">
        <v>2820.9</v>
      </c>
      <c r="T249">
        <v>11</v>
      </c>
      <c r="U249">
        <v>5790.73</v>
      </c>
      <c r="V249">
        <v>741.64</v>
      </c>
      <c r="W249">
        <v>5049.09</v>
      </c>
      <c r="X249">
        <v>3335.05</v>
      </c>
      <c r="Y249" t="s">
        <v>37</v>
      </c>
      <c r="Z249">
        <v>2820.9</v>
      </c>
      <c r="AA249">
        <v>990.68000000000006</v>
      </c>
    </row>
    <row r="250" spans="1:27" x14ac:dyDescent="0.3">
      <c r="A250" t="s">
        <v>739</v>
      </c>
      <c r="B250" s="1">
        <v>45144</v>
      </c>
      <c r="C250" t="s">
        <v>630</v>
      </c>
      <c r="D250" t="s">
        <v>246</v>
      </c>
      <c r="E250">
        <v>4</v>
      </c>
      <c r="F250" t="s">
        <v>28</v>
      </c>
      <c r="G250">
        <v>16</v>
      </c>
      <c r="H250" t="s">
        <v>631</v>
      </c>
      <c r="I250" t="s">
        <v>30</v>
      </c>
      <c r="J250">
        <v>45</v>
      </c>
      <c r="K250" t="s">
        <v>73</v>
      </c>
      <c r="L250" t="s">
        <v>32</v>
      </c>
      <c r="M250" s="1">
        <v>44941</v>
      </c>
      <c r="N250" t="s">
        <v>54</v>
      </c>
      <c r="O250" t="s">
        <v>247</v>
      </c>
      <c r="P250" t="s">
        <v>110</v>
      </c>
      <c r="Q250" t="s">
        <v>120</v>
      </c>
      <c r="R250">
        <v>4133.24</v>
      </c>
      <c r="S250">
        <v>6302.13</v>
      </c>
      <c r="T250">
        <v>299</v>
      </c>
      <c r="U250">
        <v>3200.72</v>
      </c>
      <c r="V250">
        <v>414.03</v>
      </c>
      <c r="W250">
        <v>2786.69</v>
      </c>
      <c r="X250">
        <v>538.96</v>
      </c>
      <c r="Y250" t="s">
        <v>37</v>
      </c>
      <c r="Z250">
        <v>25208.52</v>
      </c>
      <c r="AA250">
        <v>8675.5600000000013</v>
      </c>
    </row>
    <row r="251" spans="1:27" x14ac:dyDescent="0.3">
      <c r="A251" t="s">
        <v>740</v>
      </c>
      <c r="B251" s="1">
        <v>45200</v>
      </c>
      <c r="C251" t="s">
        <v>741</v>
      </c>
      <c r="D251" t="s">
        <v>650</v>
      </c>
      <c r="E251">
        <v>3</v>
      </c>
      <c r="F251" t="s">
        <v>78</v>
      </c>
      <c r="G251">
        <v>16</v>
      </c>
      <c r="H251" t="s">
        <v>742</v>
      </c>
      <c r="I251" t="s">
        <v>30</v>
      </c>
      <c r="J251">
        <v>23</v>
      </c>
      <c r="K251" t="s">
        <v>53</v>
      </c>
      <c r="L251" t="s">
        <v>66</v>
      </c>
      <c r="M251" s="1">
        <v>44877</v>
      </c>
      <c r="N251" t="s">
        <v>54</v>
      </c>
      <c r="O251" t="s">
        <v>652</v>
      </c>
      <c r="P251" t="s">
        <v>110</v>
      </c>
      <c r="Q251" t="s">
        <v>46</v>
      </c>
      <c r="R251">
        <v>4581.92</v>
      </c>
      <c r="S251">
        <v>5789.36</v>
      </c>
      <c r="T251">
        <v>140</v>
      </c>
      <c r="U251">
        <v>2652.37</v>
      </c>
      <c r="V251">
        <v>6.42</v>
      </c>
      <c r="W251">
        <v>2645.95</v>
      </c>
      <c r="X251">
        <v>1122.04</v>
      </c>
      <c r="Y251" t="s">
        <v>47</v>
      </c>
      <c r="Z251">
        <v>17368.079999999998</v>
      </c>
      <c r="AA251">
        <v>3622.3199999999988</v>
      </c>
    </row>
    <row r="252" spans="1:27" x14ac:dyDescent="0.3">
      <c r="A252" t="s">
        <v>743</v>
      </c>
      <c r="B252" s="1">
        <v>45210</v>
      </c>
      <c r="C252" t="s">
        <v>721</v>
      </c>
      <c r="D252" t="s">
        <v>322</v>
      </c>
      <c r="E252">
        <v>5</v>
      </c>
      <c r="F252" t="s">
        <v>28</v>
      </c>
      <c r="G252">
        <v>19</v>
      </c>
      <c r="H252" t="s">
        <v>722</v>
      </c>
      <c r="I252" t="s">
        <v>80</v>
      </c>
      <c r="J252">
        <v>24</v>
      </c>
      <c r="K252" t="s">
        <v>42</v>
      </c>
      <c r="L252" t="s">
        <v>53</v>
      </c>
      <c r="M252" s="1">
        <v>45227</v>
      </c>
      <c r="N252" t="s">
        <v>44</v>
      </c>
      <c r="O252" t="s">
        <v>324</v>
      </c>
      <c r="P252" t="s">
        <v>35</v>
      </c>
      <c r="Q252" t="s">
        <v>111</v>
      </c>
      <c r="R252">
        <v>3696.72</v>
      </c>
      <c r="S252">
        <v>4397.13</v>
      </c>
      <c r="T252">
        <v>92</v>
      </c>
      <c r="U252">
        <v>4569.79</v>
      </c>
      <c r="V252">
        <v>751.27</v>
      </c>
      <c r="W252">
        <v>3818.52</v>
      </c>
      <c r="X252">
        <v>2114.39</v>
      </c>
      <c r="Y252" t="s">
        <v>37</v>
      </c>
      <c r="Z252">
        <v>21985.65</v>
      </c>
      <c r="AA252">
        <v>3502.0500000000015</v>
      </c>
    </row>
    <row r="253" spans="1:27" x14ac:dyDescent="0.3">
      <c r="A253" t="s">
        <v>744</v>
      </c>
      <c r="B253" s="1">
        <v>45103</v>
      </c>
      <c r="C253" t="s">
        <v>318</v>
      </c>
      <c r="D253" t="s">
        <v>269</v>
      </c>
      <c r="E253">
        <v>6</v>
      </c>
      <c r="F253" t="s">
        <v>90</v>
      </c>
      <c r="G253">
        <v>20</v>
      </c>
      <c r="H253" t="s">
        <v>319</v>
      </c>
      <c r="I253" t="s">
        <v>30</v>
      </c>
      <c r="J253">
        <v>41</v>
      </c>
      <c r="K253" t="s">
        <v>53</v>
      </c>
      <c r="L253" t="s">
        <v>81</v>
      </c>
      <c r="M253" s="1">
        <v>45379</v>
      </c>
      <c r="N253" t="s">
        <v>44</v>
      </c>
      <c r="O253" t="s">
        <v>270</v>
      </c>
      <c r="P253" t="s">
        <v>35</v>
      </c>
      <c r="Q253" t="s">
        <v>120</v>
      </c>
      <c r="R253">
        <v>4675.05</v>
      </c>
      <c r="S253">
        <v>5769.35</v>
      </c>
      <c r="T253">
        <v>260</v>
      </c>
      <c r="U253">
        <v>6035.18</v>
      </c>
      <c r="V253">
        <v>1460.35</v>
      </c>
      <c r="W253">
        <v>4574.83</v>
      </c>
      <c r="X253">
        <v>2584.89</v>
      </c>
      <c r="Y253" t="s">
        <v>56</v>
      </c>
      <c r="Z253">
        <v>34616.100000000006</v>
      </c>
      <c r="AA253">
        <v>6565.8000000000011</v>
      </c>
    </row>
    <row r="254" spans="1:27" x14ac:dyDescent="0.3">
      <c r="A254" t="s">
        <v>745</v>
      </c>
      <c r="B254" s="1">
        <v>45184</v>
      </c>
      <c r="C254" t="s">
        <v>746</v>
      </c>
      <c r="D254" t="s">
        <v>527</v>
      </c>
      <c r="E254">
        <v>6</v>
      </c>
      <c r="F254" t="s">
        <v>78</v>
      </c>
      <c r="G254">
        <v>22</v>
      </c>
      <c r="H254" t="s">
        <v>747</v>
      </c>
      <c r="I254" t="s">
        <v>80</v>
      </c>
      <c r="J254">
        <v>46</v>
      </c>
      <c r="K254" t="s">
        <v>42</v>
      </c>
      <c r="L254" t="s">
        <v>66</v>
      </c>
      <c r="M254" s="1">
        <v>44678</v>
      </c>
      <c r="N254" t="s">
        <v>33</v>
      </c>
      <c r="O254" t="s">
        <v>528</v>
      </c>
      <c r="P254" t="s">
        <v>94</v>
      </c>
      <c r="Q254" t="s">
        <v>46</v>
      </c>
      <c r="R254">
        <v>2643.84</v>
      </c>
      <c r="S254">
        <v>3790.58</v>
      </c>
      <c r="T254">
        <v>63</v>
      </c>
      <c r="U254">
        <v>9387.36</v>
      </c>
      <c r="V254">
        <v>1596.89</v>
      </c>
      <c r="W254">
        <v>7790.47</v>
      </c>
      <c r="X254">
        <v>610.33000000000004</v>
      </c>
      <c r="Y254" t="s">
        <v>83</v>
      </c>
      <c r="Z254">
        <v>22743.48</v>
      </c>
      <c r="AA254">
        <v>6880.4399999999987</v>
      </c>
    </row>
    <row r="255" spans="1:27" x14ac:dyDescent="0.3">
      <c r="A255" t="s">
        <v>748</v>
      </c>
      <c r="B255" s="1">
        <v>45116</v>
      </c>
      <c r="C255" t="s">
        <v>749</v>
      </c>
      <c r="D255" t="s">
        <v>269</v>
      </c>
      <c r="E255">
        <v>4</v>
      </c>
      <c r="F255" t="s">
        <v>78</v>
      </c>
      <c r="G255">
        <v>21</v>
      </c>
      <c r="H255" t="s">
        <v>750</v>
      </c>
      <c r="I255" t="s">
        <v>30</v>
      </c>
      <c r="J255">
        <v>37</v>
      </c>
      <c r="K255" t="s">
        <v>155</v>
      </c>
      <c r="L255" t="s">
        <v>32</v>
      </c>
      <c r="M255" s="1">
        <v>45308</v>
      </c>
      <c r="N255" t="s">
        <v>33</v>
      </c>
      <c r="O255" t="s">
        <v>270</v>
      </c>
      <c r="P255" t="s">
        <v>35</v>
      </c>
      <c r="Q255" t="s">
        <v>120</v>
      </c>
      <c r="R255">
        <v>4675.05</v>
      </c>
      <c r="S255">
        <v>5769.35</v>
      </c>
      <c r="T255">
        <v>260</v>
      </c>
      <c r="U255">
        <v>4320.47</v>
      </c>
      <c r="V255">
        <v>90.91</v>
      </c>
      <c r="W255">
        <v>4229.5600000000004</v>
      </c>
      <c r="X255">
        <v>1155.74</v>
      </c>
      <c r="Y255" t="s">
        <v>83</v>
      </c>
      <c r="Z255">
        <v>23077.4</v>
      </c>
      <c r="AA255">
        <v>4377.2000000000007</v>
      </c>
    </row>
    <row r="256" spans="1:27" x14ac:dyDescent="0.3">
      <c r="A256" t="s">
        <v>751</v>
      </c>
      <c r="B256" s="1">
        <v>45012</v>
      </c>
      <c r="C256" t="s">
        <v>752</v>
      </c>
      <c r="D256" t="s">
        <v>117</v>
      </c>
      <c r="E256">
        <v>5</v>
      </c>
      <c r="F256" t="s">
        <v>78</v>
      </c>
      <c r="G256">
        <v>11</v>
      </c>
      <c r="H256" t="s">
        <v>753</v>
      </c>
      <c r="I256" t="s">
        <v>30</v>
      </c>
      <c r="J256">
        <v>48</v>
      </c>
      <c r="K256" t="s">
        <v>155</v>
      </c>
      <c r="L256" t="s">
        <v>32</v>
      </c>
      <c r="M256" s="1">
        <v>44866</v>
      </c>
      <c r="N256" t="s">
        <v>54</v>
      </c>
      <c r="O256" t="s">
        <v>119</v>
      </c>
      <c r="P256" t="s">
        <v>110</v>
      </c>
      <c r="Q256" t="s">
        <v>120</v>
      </c>
      <c r="R256">
        <v>1390.81</v>
      </c>
      <c r="S256">
        <v>1874.61</v>
      </c>
      <c r="T256">
        <v>262</v>
      </c>
      <c r="U256">
        <v>5079.67</v>
      </c>
      <c r="V256">
        <v>156.34</v>
      </c>
      <c r="W256">
        <v>4923.33</v>
      </c>
      <c r="X256">
        <v>3153.76</v>
      </c>
      <c r="Y256" t="s">
        <v>47</v>
      </c>
      <c r="Z256">
        <v>9373.0499999999993</v>
      </c>
      <c r="AA256">
        <v>2419</v>
      </c>
    </row>
    <row r="257" spans="1:27" x14ac:dyDescent="0.3">
      <c r="A257" t="s">
        <v>754</v>
      </c>
      <c r="B257" s="1">
        <v>44960</v>
      </c>
      <c r="C257" t="s">
        <v>518</v>
      </c>
      <c r="D257" t="s">
        <v>287</v>
      </c>
      <c r="E257">
        <v>5</v>
      </c>
      <c r="F257" t="s">
        <v>90</v>
      </c>
      <c r="G257">
        <v>10</v>
      </c>
      <c r="H257" t="s">
        <v>519</v>
      </c>
      <c r="I257" t="s">
        <v>30</v>
      </c>
      <c r="J257">
        <v>42</v>
      </c>
      <c r="K257" t="s">
        <v>155</v>
      </c>
      <c r="L257" t="s">
        <v>66</v>
      </c>
      <c r="M257" s="1">
        <v>44880</v>
      </c>
      <c r="N257" t="s">
        <v>54</v>
      </c>
      <c r="O257" t="s">
        <v>288</v>
      </c>
      <c r="P257" t="s">
        <v>68</v>
      </c>
      <c r="Q257" t="s">
        <v>46</v>
      </c>
      <c r="R257">
        <v>2345.7800000000002</v>
      </c>
      <c r="S257">
        <v>2891.96</v>
      </c>
      <c r="T257">
        <v>122</v>
      </c>
      <c r="U257">
        <v>15569.41</v>
      </c>
      <c r="V257">
        <v>2210.42</v>
      </c>
      <c r="W257">
        <v>13358.99</v>
      </c>
      <c r="X257">
        <v>3083.16</v>
      </c>
      <c r="Y257" t="s">
        <v>37</v>
      </c>
      <c r="Z257">
        <v>14459.8</v>
      </c>
      <c r="AA257">
        <v>2730.8999999999992</v>
      </c>
    </row>
    <row r="258" spans="1:27" x14ac:dyDescent="0.3">
      <c r="A258" t="s">
        <v>755</v>
      </c>
      <c r="B258" s="1">
        <v>45155</v>
      </c>
      <c r="C258" t="s">
        <v>554</v>
      </c>
      <c r="D258" t="s">
        <v>679</v>
      </c>
      <c r="E258">
        <v>2</v>
      </c>
      <c r="F258" t="s">
        <v>78</v>
      </c>
      <c r="G258">
        <v>14</v>
      </c>
      <c r="H258" t="s">
        <v>555</v>
      </c>
      <c r="I258" t="s">
        <v>80</v>
      </c>
      <c r="J258">
        <v>33</v>
      </c>
      <c r="K258" t="s">
        <v>31</v>
      </c>
      <c r="L258" t="s">
        <v>108</v>
      </c>
      <c r="M258" s="1">
        <v>45546</v>
      </c>
      <c r="N258" t="s">
        <v>54</v>
      </c>
      <c r="O258" t="s">
        <v>681</v>
      </c>
      <c r="P258" t="s">
        <v>35</v>
      </c>
      <c r="Q258" t="s">
        <v>46</v>
      </c>
      <c r="R258">
        <v>2024.37</v>
      </c>
      <c r="S258">
        <v>2982.78</v>
      </c>
      <c r="T258">
        <v>11</v>
      </c>
      <c r="U258">
        <v>5851.56</v>
      </c>
      <c r="V258">
        <v>694.43</v>
      </c>
      <c r="W258">
        <v>5157.13</v>
      </c>
      <c r="X258">
        <v>907.3</v>
      </c>
      <c r="Y258" t="s">
        <v>83</v>
      </c>
      <c r="Z258">
        <v>5965.56</v>
      </c>
      <c r="AA258">
        <v>1916.8200000000006</v>
      </c>
    </row>
    <row r="259" spans="1:27" x14ac:dyDescent="0.3">
      <c r="A259" t="s">
        <v>756</v>
      </c>
      <c r="B259" s="1">
        <v>45014</v>
      </c>
      <c r="C259" t="s">
        <v>389</v>
      </c>
      <c r="D259" t="s">
        <v>153</v>
      </c>
      <c r="E259">
        <v>3</v>
      </c>
      <c r="F259" t="s">
        <v>78</v>
      </c>
      <c r="G259">
        <v>17</v>
      </c>
      <c r="H259" t="s">
        <v>390</v>
      </c>
      <c r="I259" t="s">
        <v>80</v>
      </c>
      <c r="J259">
        <v>39</v>
      </c>
      <c r="K259" t="s">
        <v>65</v>
      </c>
      <c r="L259" t="s">
        <v>108</v>
      </c>
      <c r="M259" s="1">
        <v>44717</v>
      </c>
      <c r="N259" t="s">
        <v>44</v>
      </c>
      <c r="O259" t="s">
        <v>156</v>
      </c>
      <c r="P259" t="s">
        <v>35</v>
      </c>
      <c r="Q259" t="s">
        <v>36</v>
      </c>
      <c r="R259">
        <v>2340.46</v>
      </c>
      <c r="S259">
        <v>2600.46</v>
      </c>
      <c r="T259">
        <v>245</v>
      </c>
      <c r="U259">
        <v>9262.8799999999992</v>
      </c>
      <c r="V259">
        <v>621.79</v>
      </c>
      <c r="W259">
        <v>8641.09</v>
      </c>
      <c r="X259">
        <v>456.38</v>
      </c>
      <c r="Y259" t="s">
        <v>56</v>
      </c>
      <c r="Z259">
        <v>7801.38</v>
      </c>
      <c r="AA259">
        <v>780</v>
      </c>
    </row>
    <row r="260" spans="1:27" x14ac:dyDescent="0.3">
      <c r="A260" t="s">
        <v>757</v>
      </c>
      <c r="B260" s="1">
        <v>44973</v>
      </c>
      <c r="C260" t="s">
        <v>162</v>
      </c>
      <c r="D260" t="s">
        <v>134</v>
      </c>
      <c r="E260">
        <v>3</v>
      </c>
      <c r="F260" t="s">
        <v>51</v>
      </c>
      <c r="G260">
        <v>9</v>
      </c>
      <c r="H260" t="s">
        <v>164</v>
      </c>
      <c r="I260" t="s">
        <v>30</v>
      </c>
      <c r="J260">
        <v>58</v>
      </c>
      <c r="K260" t="s">
        <v>31</v>
      </c>
      <c r="L260" t="s">
        <v>32</v>
      </c>
      <c r="M260" s="1">
        <v>44739</v>
      </c>
      <c r="N260" t="s">
        <v>33</v>
      </c>
      <c r="O260" t="s">
        <v>136</v>
      </c>
      <c r="P260" t="s">
        <v>68</v>
      </c>
      <c r="Q260" t="s">
        <v>46</v>
      </c>
      <c r="R260">
        <v>3023.88</v>
      </c>
      <c r="S260">
        <v>3903.42</v>
      </c>
      <c r="T260">
        <v>217</v>
      </c>
      <c r="U260">
        <v>9069.74</v>
      </c>
      <c r="V260">
        <v>908.96</v>
      </c>
      <c r="W260">
        <v>8160.78</v>
      </c>
      <c r="X260">
        <v>2974.49</v>
      </c>
      <c r="Y260" t="s">
        <v>56</v>
      </c>
      <c r="Z260">
        <v>11710.26</v>
      </c>
      <c r="AA260">
        <v>2638.62</v>
      </c>
    </row>
    <row r="261" spans="1:27" x14ac:dyDescent="0.3">
      <c r="A261" t="s">
        <v>758</v>
      </c>
      <c r="B261" s="1">
        <v>45019</v>
      </c>
      <c r="C261" t="s">
        <v>759</v>
      </c>
      <c r="D261" t="s">
        <v>510</v>
      </c>
      <c r="E261">
        <v>6</v>
      </c>
      <c r="F261" t="s">
        <v>78</v>
      </c>
      <c r="G261">
        <v>5</v>
      </c>
      <c r="H261" t="s">
        <v>760</v>
      </c>
      <c r="I261" t="s">
        <v>80</v>
      </c>
      <c r="J261">
        <v>41</v>
      </c>
      <c r="K261" t="s">
        <v>155</v>
      </c>
      <c r="L261" t="s">
        <v>53</v>
      </c>
      <c r="M261" s="1">
        <v>44752</v>
      </c>
      <c r="N261" t="s">
        <v>54</v>
      </c>
      <c r="O261" t="s">
        <v>512</v>
      </c>
      <c r="P261" t="s">
        <v>110</v>
      </c>
      <c r="Q261" t="s">
        <v>36</v>
      </c>
      <c r="R261">
        <v>952.01</v>
      </c>
      <c r="S261">
        <v>1107.5</v>
      </c>
      <c r="T261">
        <v>162</v>
      </c>
      <c r="U261">
        <v>17815.32</v>
      </c>
      <c r="V261">
        <v>1895.39</v>
      </c>
      <c r="W261">
        <v>15919.93</v>
      </c>
      <c r="X261">
        <v>179.31</v>
      </c>
      <c r="Y261" t="s">
        <v>47</v>
      </c>
      <c r="Z261">
        <v>6645</v>
      </c>
      <c r="AA261">
        <v>932.94</v>
      </c>
    </row>
    <row r="262" spans="1:27" x14ac:dyDescent="0.3">
      <c r="A262" t="s">
        <v>761</v>
      </c>
      <c r="B262" s="1">
        <v>45185</v>
      </c>
      <c r="C262" t="s">
        <v>712</v>
      </c>
      <c r="D262" t="s">
        <v>471</v>
      </c>
      <c r="E262">
        <v>3</v>
      </c>
      <c r="F262" t="s">
        <v>51</v>
      </c>
      <c r="G262">
        <v>0</v>
      </c>
      <c r="H262" t="s">
        <v>713</v>
      </c>
      <c r="I262" t="s">
        <v>80</v>
      </c>
      <c r="J262">
        <v>47</v>
      </c>
      <c r="K262" t="s">
        <v>53</v>
      </c>
      <c r="L262" t="s">
        <v>43</v>
      </c>
      <c r="M262" s="1">
        <v>45085</v>
      </c>
      <c r="N262" t="s">
        <v>33</v>
      </c>
      <c r="O262" t="s">
        <v>473</v>
      </c>
      <c r="P262" t="s">
        <v>68</v>
      </c>
      <c r="Q262" t="s">
        <v>120</v>
      </c>
      <c r="R262">
        <v>1492.62</v>
      </c>
      <c r="S262">
        <v>2285.1999999999998</v>
      </c>
      <c r="T262">
        <v>106</v>
      </c>
      <c r="U262">
        <v>3739.01</v>
      </c>
      <c r="V262">
        <v>43.12</v>
      </c>
      <c r="W262">
        <v>3695.89</v>
      </c>
      <c r="X262">
        <v>838.25</v>
      </c>
      <c r="Y262" t="s">
        <v>37</v>
      </c>
      <c r="Z262">
        <v>6855.5999999999995</v>
      </c>
      <c r="AA262">
        <v>2377.7399999999998</v>
      </c>
    </row>
    <row r="263" spans="1:27" x14ac:dyDescent="0.3">
      <c r="A263" t="s">
        <v>762</v>
      </c>
      <c r="B263" s="1">
        <v>45032</v>
      </c>
      <c r="C263" t="s">
        <v>441</v>
      </c>
      <c r="D263" t="s">
        <v>63</v>
      </c>
      <c r="E263">
        <v>6</v>
      </c>
      <c r="F263" t="s">
        <v>90</v>
      </c>
      <c r="G263">
        <v>24</v>
      </c>
      <c r="H263" t="s">
        <v>442</v>
      </c>
      <c r="I263" t="s">
        <v>30</v>
      </c>
      <c r="J263">
        <v>43</v>
      </c>
      <c r="K263" t="s">
        <v>73</v>
      </c>
      <c r="L263" t="s">
        <v>32</v>
      </c>
      <c r="M263" s="1">
        <v>44709</v>
      </c>
      <c r="N263" t="s">
        <v>44</v>
      </c>
      <c r="O263" t="s">
        <v>67</v>
      </c>
      <c r="P263" t="s">
        <v>68</v>
      </c>
      <c r="Q263" t="s">
        <v>46</v>
      </c>
      <c r="R263">
        <v>2961.83</v>
      </c>
      <c r="S263">
        <v>4189.8100000000004</v>
      </c>
      <c r="T263">
        <v>165</v>
      </c>
      <c r="U263">
        <v>17332.490000000002</v>
      </c>
      <c r="V263">
        <v>807.54</v>
      </c>
      <c r="W263">
        <v>16524.95</v>
      </c>
      <c r="X263">
        <v>3517.73</v>
      </c>
      <c r="Y263" t="s">
        <v>37</v>
      </c>
      <c r="Z263">
        <v>25138.86</v>
      </c>
      <c r="AA263">
        <v>7367.8800000000028</v>
      </c>
    </row>
    <row r="264" spans="1:27" x14ac:dyDescent="0.3">
      <c r="A264" t="s">
        <v>763</v>
      </c>
      <c r="B264" s="1">
        <v>45168</v>
      </c>
      <c r="C264" t="s">
        <v>708</v>
      </c>
      <c r="D264" t="s">
        <v>63</v>
      </c>
      <c r="E264">
        <v>5</v>
      </c>
      <c r="F264" t="s">
        <v>28</v>
      </c>
      <c r="G264">
        <v>20</v>
      </c>
      <c r="H264" t="s">
        <v>709</v>
      </c>
      <c r="I264" t="s">
        <v>80</v>
      </c>
      <c r="J264">
        <v>45</v>
      </c>
      <c r="K264" t="s">
        <v>155</v>
      </c>
      <c r="L264" t="s">
        <v>53</v>
      </c>
      <c r="M264" s="1">
        <v>45424</v>
      </c>
      <c r="N264" t="s">
        <v>54</v>
      </c>
      <c r="O264" t="s">
        <v>67</v>
      </c>
      <c r="P264" t="s">
        <v>68</v>
      </c>
      <c r="Q264" t="s">
        <v>46</v>
      </c>
      <c r="R264">
        <v>2961.83</v>
      </c>
      <c r="S264">
        <v>4189.8100000000004</v>
      </c>
      <c r="T264">
        <v>165</v>
      </c>
      <c r="U264">
        <v>19020.72</v>
      </c>
      <c r="V264">
        <v>2485.06</v>
      </c>
      <c r="W264">
        <v>16535.66</v>
      </c>
      <c r="X264">
        <v>1677.28</v>
      </c>
      <c r="Y264" t="s">
        <v>83</v>
      </c>
      <c r="Z264">
        <v>20949.050000000003</v>
      </c>
      <c r="AA264">
        <v>6139.9000000000024</v>
      </c>
    </row>
    <row r="265" spans="1:27" x14ac:dyDescent="0.3">
      <c r="A265" t="s">
        <v>764</v>
      </c>
      <c r="B265" s="1">
        <v>45196</v>
      </c>
      <c r="C265" t="s">
        <v>403</v>
      </c>
      <c r="D265" t="s">
        <v>27</v>
      </c>
      <c r="E265">
        <v>6</v>
      </c>
      <c r="F265" t="s">
        <v>78</v>
      </c>
      <c r="G265">
        <v>18</v>
      </c>
      <c r="H265" t="s">
        <v>404</v>
      </c>
      <c r="I265" t="s">
        <v>30</v>
      </c>
      <c r="J265">
        <v>33</v>
      </c>
      <c r="K265" t="s">
        <v>92</v>
      </c>
      <c r="L265" t="s">
        <v>108</v>
      </c>
      <c r="M265" s="1">
        <v>44991</v>
      </c>
      <c r="N265" t="s">
        <v>44</v>
      </c>
      <c r="O265" t="s">
        <v>34</v>
      </c>
      <c r="P265" t="s">
        <v>35</v>
      </c>
      <c r="Q265" t="s">
        <v>36</v>
      </c>
      <c r="R265">
        <v>4318.8599999999997</v>
      </c>
      <c r="S265">
        <v>4880.6400000000003</v>
      </c>
      <c r="T265">
        <v>149</v>
      </c>
      <c r="U265">
        <v>8665.41</v>
      </c>
      <c r="V265">
        <v>1924.91</v>
      </c>
      <c r="W265">
        <v>6740.5</v>
      </c>
      <c r="X265">
        <v>460.07</v>
      </c>
      <c r="Y265" t="s">
        <v>56</v>
      </c>
      <c r="Z265">
        <v>29283.840000000004</v>
      </c>
      <c r="AA265">
        <v>3370.6800000000039</v>
      </c>
    </row>
    <row r="266" spans="1:27" x14ac:dyDescent="0.3">
      <c r="A266" t="s">
        <v>765</v>
      </c>
      <c r="B266" s="1">
        <v>44969</v>
      </c>
      <c r="C266" t="s">
        <v>326</v>
      </c>
      <c r="D266" t="s">
        <v>172</v>
      </c>
      <c r="E266">
        <v>3</v>
      </c>
      <c r="F266" t="s">
        <v>28</v>
      </c>
      <c r="G266">
        <v>5</v>
      </c>
      <c r="H266" t="s">
        <v>327</v>
      </c>
      <c r="I266" t="s">
        <v>80</v>
      </c>
      <c r="J266">
        <v>56</v>
      </c>
      <c r="K266" t="s">
        <v>42</v>
      </c>
      <c r="L266" t="s">
        <v>53</v>
      </c>
      <c r="M266" s="1">
        <v>45103</v>
      </c>
      <c r="N266" t="s">
        <v>54</v>
      </c>
      <c r="O266" t="s">
        <v>174</v>
      </c>
      <c r="P266" t="s">
        <v>94</v>
      </c>
      <c r="Q266" t="s">
        <v>120</v>
      </c>
      <c r="R266">
        <v>2787.43</v>
      </c>
      <c r="S266">
        <v>4097.28</v>
      </c>
      <c r="T266">
        <v>278</v>
      </c>
      <c r="U266">
        <v>4708.96</v>
      </c>
      <c r="V266">
        <v>1088.3900000000001</v>
      </c>
      <c r="W266">
        <v>3620.57</v>
      </c>
      <c r="X266">
        <v>2339.15</v>
      </c>
      <c r="Y266" t="s">
        <v>56</v>
      </c>
      <c r="Z266">
        <v>12291.84</v>
      </c>
      <c r="AA266">
        <v>3929.5499999999997</v>
      </c>
    </row>
    <row r="267" spans="1:27" x14ac:dyDescent="0.3">
      <c r="A267" t="s">
        <v>766</v>
      </c>
      <c r="B267" s="1">
        <v>44973</v>
      </c>
      <c r="C267" t="s">
        <v>407</v>
      </c>
      <c r="D267" t="s">
        <v>650</v>
      </c>
      <c r="E267">
        <v>2</v>
      </c>
      <c r="F267" t="s">
        <v>90</v>
      </c>
      <c r="G267">
        <v>0</v>
      </c>
      <c r="H267" t="s">
        <v>409</v>
      </c>
      <c r="I267" t="s">
        <v>80</v>
      </c>
      <c r="J267">
        <v>22</v>
      </c>
      <c r="K267" t="s">
        <v>31</v>
      </c>
      <c r="L267" t="s">
        <v>81</v>
      </c>
      <c r="M267" s="1">
        <v>44661</v>
      </c>
      <c r="N267" t="s">
        <v>44</v>
      </c>
      <c r="O267" t="s">
        <v>652</v>
      </c>
      <c r="P267" t="s">
        <v>110</v>
      </c>
      <c r="Q267" t="s">
        <v>46</v>
      </c>
      <c r="R267">
        <v>4581.92</v>
      </c>
      <c r="S267">
        <v>5789.36</v>
      </c>
      <c r="T267">
        <v>140</v>
      </c>
      <c r="U267">
        <v>19956.11</v>
      </c>
      <c r="V267">
        <v>2337.58</v>
      </c>
      <c r="W267">
        <v>17618.53</v>
      </c>
      <c r="X267">
        <v>3100.08</v>
      </c>
      <c r="Y267" t="s">
        <v>47</v>
      </c>
      <c r="Z267">
        <v>11578.72</v>
      </c>
      <c r="AA267">
        <v>2414.8799999999992</v>
      </c>
    </row>
    <row r="268" spans="1:27" x14ac:dyDescent="0.3">
      <c r="A268" t="s">
        <v>767</v>
      </c>
      <c r="B268" s="1">
        <v>45150</v>
      </c>
      <c r="C268" t="s">
        <v>768</v>
      </c>
      <c r="D268" t="s">
        <v>272</v>
      </c>
      <c r="E268">
        <v>5</v>
      </c>
      <c r="F268" t="s">
        <v>78</v>
      </c>
      <c r="G268">
        <v>3</v>
      </c>
      <c r="H268" t="s">
        <v>769</v>
      </c>
      <c r="I268" t="s">
        <v>30</v>
      </c>
      <c r="J268">
        <v>42</v>
      </c>
      <c r="K268" t="s">
        <v>92</v>
      </c>
      <c r="L268" t="s">
        <v>53</v>
      </c>
      <c r="M268" s="1">
        <v>44591</v>
      </c>
      <c r="N268" t="s">
        <v>44</v>
      </c>
      <c r="O268" t="s">
        <v>273</v>
      </c>
      <c r="P268" t="s">
        <v>68</v>
      </c>
      <c r="Q268" t="s">
        <v>111</v>
      </c>
      <c r="R268">
        <v>1137.26</v>
      </c>
      <c r="S268">
        <v>1649.58</v>
      </c>
      <c r="T268">
        <v>243</v>
      </c>
      <c r="U268">
        <v>13502.01</v>
      </c>
      <c r="V268">
        <v>1628.98</v>
      </c>
      <c r="W268">
        <v>11873.03</v>
      </c>
      <c r="X268">
        <v>3829.4</v>
      </c>
      <c r="Y268" t="s">
        <v>47</v>
      </c>
      <c r="Z268">
        <v>8247.9</v>
      </c>
      <c r="AA268">
        <v>2561.5999999999995</v>
      </c>
    </row>
    <row r="269" spans="1:27" x14ac:dyDescent="0.3">
      <c r="A269" t="s">
        <v>770</v>
      </c>
      <c r="B269" s="1">
        <v>45148</v>
      </c>
      <c r="C269" t="s">
        <v>152</v>
      </c>
      <c r="D269" t="s">
        <v>393</v>
      </c>
      <c r="E269">
        <v>5</v>
      </c>
      <c r="F269" t="s">
        <v>90</v>
      </c>
      <c r="G269">
        <v>21</v>
      </c>
      <c r="H269" t="s">
        <v>154</v>
      </c>
      <c r="I269" t="s">
        <v>80</v>
      </c>
      <c r="J269">
        <v>36</v>
      </c>
      <c r="K269" t="s">
        <v>155</v>
      </c>
      <c r="L269" t="s">
        <v>81</v>
      </c>
      <c r="M269" s="1">
        <v>45103</v>
      </c>
      <c r="N269" t="s">
        <v>33</v>
      </c>
      <c r="O269" t="s">
        <v>395</v>
      </c>
      <c r="P269" t="s">
        <v>35</v>
      </c>
      <c r="Q269" t="s">
        <v>111</v>
      </c>
      <c r="R269">
        <v>4793.34</v>
      </c>
      <c r="S269">
        <v>7058.65</v>
      </c>
      <c r="T269">
        <v>107</v>
      </c>
      <c r="U269">
        <v>13979.46</v>
      </c>
      <c r="V269">
        <v>3257.29</v>
      </c>
      <c r="W269">
        <v>10722.17</v>
      </c>
      <c r="X269">
        <v>3252.06</v>
      </c>
      <c r="Y269" t="s">
        <v>83</v>
      </c>
      <c r="Z269">
        <v>35293.25</v>
      </c>
      <c r="AA269">
        <v>11326.549999999997</v>
      </c>
    </row>
    <row r="270" spans="1:27" x14ac:dyDescent="0.3">
      <c r="A270" t="s">
        <v>771</v>
      </c>
      <c r="B270" s="1">
        <v>45093</v>
      </c>
      <c r="C270" t="s">
        <v>772</v>
      </c>
      <c r="D270" t="s">
        <v>193</v>
      </c>
      <c r="E270">
        <v>2</v>
      </c>
      <c r="F270" t="s">
        <v>78</v>
      </c>
      <c r="G270">
        <v>0</v>
      </c>
      <c r="H270" t="s">
        <v>773</v>
      </c>
      <c r="I270" t="s">
        <v>30</v>
      </c>
      <c r="J270">
        <v>37</v>
      </c>
      <c r="K270" t="s">
        <v>42</v>
      </c>
      <c r="L270" t="s">
        <v>81</v>
      </c>
      <c r="M270" s="1">
        <v>45724</v>
      </c>
      <c r="N270" t="s">
        <v>33</v>
      </c>
      <c r="O270" t="s">
        <v>194</v>
      </c>
      <c r="P270" t="s">
        <v>94</v>
      </c>
      <c r="Q270" t="s">
        <v>120</v>
      </c>
      <c r="R270">
        <v>1267.6600000000001</v>
      </c>
      <c r="S270">
        <v>1481.07</v>
      </c>
      <c r="T270">
        <v>99</v>
      </c>
      <c r="U270">
        <v>5249.51</v>
      </c>
      <c r="V270">
        <v>1296.6600000000001</v>
      </c>
      <c r="W270">
        <v>3952.85</v>
      </c>
      <c r="X270">
        <v>3504.22</v>
      </c>
      <c r="Y270" t="s">
        <v>83</v>
      </c>
      <c r="Z270">
        <v>2962.14</v>
      </c>
      <c r="AA270">
        <v>426.81999999999971</v>
      </c>
    </row>
    <row r="271" spans="1:27" x14ac:dyDescent="0.3">
      <c r="A271" t="s">
        <v>774</v>
      </c>
      <c r="B271" s="1">
        <v>45043</v>
      </c>
      <c r="C271" t="s">
        <v>470</v>
      </c>
      <c r="D271" t="s">
        <v>269</v>
      </c>
      <c r="E271">
        <v>3</v>
      </c>
      <c r="F271" t="s">
        <v>78</v>
      </c>
      <c r="G271">
        <v>24</v>
      </c>
      <c r="H271" t="s">
        <v>472</v>
      </c>
      <c r="I271" t="s">
        <v>30</v>
      </c>
      <c r="J271">
        <v>21</v>
      </c>
      <c r="K271" t="s">
        <v>73</v>
      </c>
      <c r="L271" t="s">
        <v>66</v>
      </c>
      <c r="M271" s="1">
        <v>45489</v>
      </c>
      <c r="N271" t="s">
        <v>33</v>
      </c>
      <c r="O271" t="s">
        <v>270</v>
      </c>
      <c r="P271" t="s">
        <v>35</v>
      </c>
      <c r="Q271" t="s">
        <v>120</v>
      </c>
      <c r="R271">
        <v>4675.05</v>
      </c>
      <c r="S271">
        <v>5769.35</v>
      </c>
      <c r="T271">
        <v>260</v>
      </c>
      <c r="U271">
        <v>12720.55</v>
      </c>
      <c r="V271">
        <v>1189.7</v>
      </c>
      <c r="W271">
        <v>11530.85</v>
      </c>
      <c r="X271">
        <v>4681.84</v>
      </c>
      <c r="Y271" t="s">
        <v>56</v>
      </c>
      <c r="Z271">
        <v>17308.050000000003</v>
      </c>
      <c r="AA271">
        <v>3282.9000000000005</v>
      </c>
    </row>
    <row r="272" spans="1:27" x14ac:dyDescent="0.3">
      <c r="A272" t="s">
        <v>775</v>
      </c>
      <c r="B272" s="1">
        <v>44954</v>
      </c>
      <c r="C272" t="s">
        <v>326</v>
      </c>
      <c r="D272" t="s">
        <v>71</v>
      </c>
      <c r="E272">
        <v>3</v>
      </c>
      <c r="F272" t="s">
        <v>78</v>
      </c>
      <c r="G272">
        <v>20</v>
      </c>
      <c r="H272" t="s">
        <v>327</v>
      </c>
      <c r="I272" t="s">
        <v>80</v>
      </c>
      <c r="J272">
        <v>56</v>
      </c>
      <c r="K272" t="s">
        <v>42</v>
      </c>
      <c r="L272" t="s">
        <v>53</v>
      </c>
      <c r="M272" s="1">
        <v>45103</v>
      </c>
      <c r="N272" t="s">
        <v>54</v>
      </c>
      <c r="O272" t="s">
        <v>74</v>
      </c>
      <c r="P272" t="s">
        <v>35</v>
      </c>
      <c r="Q272" t="s">
        <v>36</v>
      </c>
      <c r="R272">
        <v>3231.26</v>
      </c>
      <c r="S272">
        <v>4308.05</v>
      </c>
      <c r="T272">
        <v>21</v>
      </c>
      <c r="U272">
        <v>13242.09</v>
      </c>
      <c r="V272">
        <v>1251.8</v>
      </c>
      <c r="W272">
        <v>11990.29</v>
      </c>
      <c r="X272">
        <v>4975.87</v>
      </c>
      <c r="Y272" t="s">
        <v>37</v>
      </c>
      <c r="Z272">
        <v>12924.150000000001</v>
      </c>
      <c r="AA272">
        <v>3230.37</v>
      </c>
    </row>
    <row r="273" spans="1:27" x14ac:dyDescent="0.3">
      <c r="A273" t="s">
        <v>776</v>
      </c>
      <c r="B273" s="1">
        <v>45073</v>
      </c>
      <c r="C273" t="s">
        <v>658</v>
      </c>
      <c r="D273" t="s">
        <v>246</v>
      </c>
      <c r="E273">
        <v>5</v>
      </c>
      <c r="F273" t="s">
        <v>78</v>
      </c>
      <c r="G273">
        <v>21</v>
      </c>
      <c r="H273" t="s">
        <v>659</v>
      </c>
      <c r="I273" t="s">
        <v>80</v>
      </c>
      <c r="J273">
        <v>45</v>
      </c>
      <c r="K273" t="s">
        <v>42</v>
      </c>
      <c r="L273" t="s">
        <v>53</v>
      </c>
      <c r="M273" s="1">
        <v>44838</v>
      </c>
      <c r="N273" t="s">
        <v>54</v>
      </c>
      <c r="O273" t="s">
        <v>247</v>
      </c>
      <c r="P273" t="s">
        <v>110</v>
      </c>
      <c r="Q273" t="s">
        <v>120</v>
      </c>
      <c r="R273">
        <v>4133.24</v>
      </c>
      <c r="S273">
        <v>6302.13</v>
      </c>
      <c r="T273">
        <v>299</v>
      </c>
      <c r="U273">
        <v>1360.53</v>
      </c>
      <c r="V273">
        <v>71.7</v>
      </c>
      <c r="W273">
        <v>1288.83</v>
      </c>
      <c r="X273">
        <v>1816.57</v>
      </c>
      <c r="Y273" t="s">
        <v>56</v>
      </c>
      <c r="Z273">
        <v>31510.65</v>
      </c>
      <c r="AA273">
        <v>10844.45</v>
      </c>
    </row>
    <row r="274" spans="1:27" x14ac:dyDescent="0.3">
      <c r="A274" t="s">
        <v>777</v>
      </c>
      <c r="B274" s="1">
        <v>44986</v>
      </c>
      <c r="C274" t="s">
        <v>595</v>
      </c>
      <c r="D274" t="s">
        <v>89</v>
      </c>
      <c r="E274">
        <v>1</v>
      </c>
      <c r="F274" t="s">
        <v>51</v>
      </c>
      <c r="G274">
        <v>15</v>
      </c>
      <c r="H274" t="s">
        <v>596</v>
      </c>
      <c r="I274" t="s">
        <v>80</v>
      </c>
      <c r="J274">
        <v>55</v>
      </c>
      <c r="K274" t="s">
        <v>73</v>
      </c>
      <c r="L274" t="s">
        <v>66</v>
      </c>
      <c r="M274" s="1">
        <v>44682</v>
      </c>
      <c r="N274" t="s">
        <v>54</v>
      </c>
      <c r="O274" t="s">
        <v>93</v>
      </c>
      <c r="P274" t="s">
        <v>94</v>
      </c>
      <c r="Q274" t="s">
        <v>46</v>
      </c>
      <c r="R274">
        <v>1290.44</v>
      </c>
      <c r="S274">
        <v>1756.94</v>
      </c>
      <c r="T274">
        <v>226</v>
      </c>
      <c r="U274">
        <v>4861.92</v>
      </c>
      <c r="V274">
        <v>287.79000000000002</v>
      </c>
      <c r="W274">
        <v>4574.13</v>
      </c>
      <c r="X274">
        <v>4073.16</v>
      </c>
      <c r="Y274" t="s">
        <v>47</v>
      </c>
      <c r="Z274">
        <v>1756.94</v>
      </c>
      <c r="AA274">
        <v>466.5</v>
      </c>
    </row>
    <row r="275" spans="1:27" x14ac:dyDescent="0.3">
      <c r="A275" t="s">
        <v>778</v>
      </c>
      <c r="B275" s="1">
        <v>45116</v>
      </c>
      <c r="C275" t="s">
        <v>779</v>
      </c>
      <c r="D275" t="s">
        <v>197</v>
      </c>
      <c r="E275">
        <v>3</v>
      </c>
      <c r="F275" t="s">
        <v>78</v>
      </c>
      <c r="G275">
        <v>15</v>
      </c>
      <c r="H275" t="s">
        <v>780</v>
      </c>
      <c r="I275" t="s">
        <v>80</v>
      </c>
      <c r="J275">
        <v>29</v>
      </c>
      <c r="K275" t="s">
        <v>92</v>
      </c>
      <c r="L275" t="s">
        <v>108</v>
      </c>
      <c r="M275" s="1">
        <v>45506</v>
      </c>
      <c r="N275" t="s">
        <v>33</v>
      </c>
      <c r="O275" t="s">
        <v>199</v>
      </c>
      <c r="P275" t="s">
        <v>35</v>
      </c>
      <c r="Q275" t="s">
        <v>46</v>
      </c>
      <c r="R275">
        <v>1612.7</v>
      </c>
      <c r="S275">
        <v>1932.63</v>
      </c>
      <c r="T275">
        <v>278</v>
      </c>
      <c r="U275">
        <v>528.62</v>
      </c>
      <c r="V275">
        <v>86.7</v>
      </c>
      <c r="W275">
        <v>441.92</v>
      </c>
      <c r="X275">
        <v>4926.87</v>
      </c>
      <c r="Y275" t="s">
        <v>83</v>
      </c>
      <c r="Z275">
        <v>5797.89</v>
      </c>
      <c r="AA275">
        <v>959.79000000000019</v>
      </c>
    </row>
    <row r="276" spans="1:27" x14ac:dyDescent="0.3">
      <c r="A276" t="s">
        <v>781</v>
      </c>
      <c r="B276" s="1">
        <v>44927</v>
      </c>
      <c r="C276" t="s">
        <v>782</v>
      </c>
      <c r="D276" t="s">
        <v>322</v>
      </c>
      <c r="E276">
        <v>4</v>
      </c>
      <c r="F276" t="s">
        <v>51</v>
      </c>
      <c r="G276">
        <v>25</v>
      </c>
      <c r="H276" t="s">
        <v>783</v>
      </c>
      <c r="I276" t="s">
        <v>30</v>
      </c>
      <c r="J276">
        <v>29</v>
      </c>
      <c r="K276" t="s">
        <v>42</v>
      </c>
      <c r="L276" t="s">
        <v>53</v>
      </c>
      <c r="M276" s="1">
        <v>44925</v>
      </c>
      <c r="N276" t="s">
        <v>44</v>
      </c>
      <c r="O276" t="s">
        <v>324</v>
      </c>
      <c r="P276" t="s">
        <v>35</v>
      </c>
      <c r="Q276" t="s">
        <v>111</v>
      </c>
      <c r="R276">
        <v>3696.72</v>
      </c>
      <c r="S276">
        <v>4397.13</v>
      </c>
      <c r="T276">
        <v>92</v>
      </c>
      <c r="U276">
        <v>12167.45</v>
      </c>
      <c r="V276">
        <v>2109.84</v>
      </c>
      <c r="W276">
        <v>10057.61</v>
      </c>
      <c r="X276">
        <v>1901.14</v>
      </c>
      <c r="Y276" t="s">
        <v>83</v>
      </c>
      <c r="Z276">
        <v>17588.52</v>
      </c>
      <c r="AA276">
        <v>2801.6400000000012</v>
      </c>
    </row>
    <row r="277" spans="1:27" x14ac:dyDescent="0.3">
      <c r="A277" t="s">
        <v>784</v>
      </c>
      <c r="B277" s="1">
        <v>45059</v>
      </c>
      <c r="C277" t="s">
        <v>434</v>
      </c>
      <c r="D277" t="s">
        <v>448</v>
      </c>
      <c r="E277">
        <v>3</v>
      </c>
      <c r="F277" t="s">
        <v>28</v>
      </c>
      <c r="G277">
        <v>11</v>
      </c>
      <c r="H277" t="s">
        <v>435</v>
      </c>
      <c r="I277" t="s">
        <v>80</v>
      </c>
      <c r="J277">
        <v>59</v>
      </c>
      <c r="K277" t="s">
        <v>53</v>
      </c>
      <c r="L277" t="s">
        <v>43</v>
      </c>
      <c r="M277" s="1">
        <v>45296</v>
      </c>
      <c r="N277" t="s">
        <v>44</v>
      </c>
      <c r="O277" t="s">
        <v>449</v>
      </c>
      <c r="P277" t="s">
        <v>110</v>
      </c>
      <c r="Q277" t="s">
        <v>120</v>
      </c>
      <c r="R277">
        <v>4836.3999999999996</v>
      </c>
      <c r="S277">
        <v>7004.05</v>
      </c>
      <c r="T277">
        <v>98</v>
      </c>
      <c r="U277">
        <v>4795.5200000000004</v>
      </c>
      <c r="V277">
        <v>945.2</v>
      </c>
      <c r="W277">
        <v>3850.32</v>
      </c>
      <c r="X277">
        <v>1526.38</v>
      </c>
      <c r="Y277" t="s">
        <v>56</v>
      </c>
      <c r="Z277">
        <v>21012.15</v>
      </c>
      <c r="AA277">
        <v>6502.9500000000016</v>
      </c>
    </row>
    <row r="278" spans="1:27" x14ac:dyDescent="0.3">
      <c r="A278" t="s">
        <v>785</v>
      </c>
      <c r="B278" s="1">
        <v>44967</v>
      </c>
      <c r="C278" t="s">
        <v>752</v>
      </c>
      <c r="D278" t="s">
        <v>329</v>
      </c>
      <c r="E278">
        <v>5</v>
      </c>
      <c r="F278" t="s">
        <v>90</v>
      </c>
      <c r="G278">
        <v>18</v>
      </c>
      <c r="H278" t="s">
        <v>753</v>
      </c>
      <c r="I278" t="s">
        <v>30</v>
      </c>
      <c r="J278">
        <v>48</v>
      </c>
      <c r="K278" t="s">
        <v>155</v>
      </c>
      <c r="L278" t="s">
        <v>32</v>
      </c>
      <c r="M278" s="1">
        <v>44866</v>
      </c>
      <c r="N278" t="s">
        <v>54</v>
      </c>
      <c r="O278" t="s">
        <v>330</v>
      </c>
      <c r="P278" t="s">
        <v>94</v>
      </c>
      <c r="Q278" t="s">
        <v>46</v>
      </c>
      <c r="R278">
        <v>3358.26</v>
      </c>
      <c r="S278">
        <v>4345.1099999999997</v>
      </c>
      <c r="T278">
        <v>179</v>
      </c>
      <c r="U278">
        <v>15168.68</v>
      </c>
      <c r="V278">
        <v>2418.9</v>
      </c>
      <c r="W278">
        <v>12749.78</v>
      </c>
      <c r="X278">
        <v>2444.9299999999998</v>
      </c>
      <c r="Y278" t="s">
        <v>37</v>
      </c>
      <c r="Z278">
        <v>21725.55</v>
      </c>
      <c r="AA278">
        <v>4934.2499999999973</v>
      </c>
    </row>
    <row r="279" spans="1:27" x14ac:dyDescent="0.3">
      <c r="A279" t="s">
        <v>786</v>
      </c>
      <c r="B279" s="1">
        <v>44976</v>
      </c>
      <c r="C279" t="s">
        <v>475</v>
      </c>
      <c r="D279" t="s">
        <v>177</v>
      </c>
      <c r="E279">
        <v>4</v>
      </c>
      <c r="F279" t="s">
        <v>90</v>
      </c>
      <c r="G279">
        <v>13</v>
      </c>
      <c r="H279" t="s">
        <v>476</v>
      </c>
      <c r="I279" t="s">
        <v>80</v>
      </c>
      <c r="J279">
        <v>41</v>
      </c>
      <c r="K279" t="s">
        <v>60</v>
      </c>
      <c r="L279" t="s">
        <v>53</v>
      </c>
      <c r="M279" s="1">
        <v>45192</v>
      </c>
      <c r="N279" t="s">
        <v>44</v>
      </c>
      <c r="O279" t="s">
        <v>179</v>
      </c>
      <c r="P279" t="s">
        <v>35</v>
      </c>
      <c r="Q279" t="s">
        <v>46</v>
      </c>
      <c r="R279">
        <v>926.86</v>
      </c>
      <c r="S279">
        <v>1109.73</v>
      </c>
      <c r="T279">
        <v>287</v>
      </c>
      <c r="U279">
        <v>3091.48</v>
      </c>
      <c r="V279">
        <v>87.54</v>
      </c>
      <c r="W279">
        <v>3003.94</v>
      </c>
      <c r="X279">
        <v>993.75</v>
      </c>
      <c r="Y279" t="s">
        <v>47</v>
      </c>
      <c r="Z279">
        <v>4438.92</v>
      </c>
      <c r="AA279">
        <v>731.48</v>
      </c>
    </row>
    <row r="280" spans="1:27" x14ac:dyDescent="0.3">
      <c r="A280" t="s">
        <v>787</v>
      </c>
      <c r="B280" s="1">
        <v>45073</v>
      </c>
      <c r="C280" t="s">
        <v>206</v>
      </c>
      <c r="D280" t="s">
        <v>89</v>
      </c>
      <c r="E280">
        <v>2</v>
      </c>
      <c r="F280" t="s">
        <v>51</v>
      </c>
      <c r="G280">
        <v>17</v>
      </c>
      <c r="H280" t="s">
        <v>208</v>
      </c>
      <c r="I280" t="s">
        <v>30</v>
      </c>
      <c r="J280">
        <v>23</v>
      </c>
      <c r="K280" t="s">
        <v>155</v>
      </c>
      <c r="L280" t="s">
        <v>108</v>
      </c>
      <c r="M280" s="1">
        <v>44688</v>
      </c>
      <c r="N280" t="s">
        <v>44</v>
      </c>
      <c r="O280" t="s">
        <v>93</v>
      </c>
      <c r="P280" t="s">
        <v>94</v>
      </c>
      <c r="Q280" t="s">
        <v>46</v>
      </c>
      <c r="R280">
        <v>1290.44</v>
      </c>
      <c r="S280">
        <v>1756.94</v>
      </c>
      <c r="T280">
        <v>226</v>
      </c>
      <c r="U280">
        <v>7963.31</v>
      </c>
      <c r="V280">
        <v>927.31</v>
      </c>
      <c r="W280">
        <v>7036</v>
      </c>
      <c r="X280">
        <v>4786.5</v>
      </c>
      <c r="Y280" t="s">
        <v>37</v>
      </c>
      <c r="Z280">
        <v>3513.88</v>
      </c>
      <c r="AA280">
        <v>933</v>
      </c>
    </row>
    <row r="281" spans="1:27" x14ac:dyDescent="0.3">
      <c r="A281" t="s">
        <v>788</v>
      </c>
      <c r="B281" s="1">
        <v>45042</v>
      </c>
      <c r="C281" t="s">
        <v>782</v>
      </c>
      <c r="D281" t="s">
        <v>375</v>
      </c>
      <c r="E281">
        <v>6</v>
      </c>
      <c r="F281" t="s">
        <v>28</v>
      </c>
      <c r="G281">
        <v>23</v>
      </c>
      <c r="H281" t="s">
        <v>783</v>
      </c>
      <c r="I281" t="s">
        <v>30</v>
      </c>
      <c r="J281">
        <v>29</v>
      </c>
      <c r="K281" t="s">
        <v>42</v>
      </c>
      <c r="L281" t="s">
        <v>53</v>
      </c>
      <c r="M281" s="1">
        <v>44925</v>
      </c>
      <c r="N281" t="s">
        <v>44</v>
      </c>
      <c r="O281" t="s">
        <v>377</v>
      </c>
      <c r="P281" t="s">
        <v>94</v>
      </c>
      <c r="Q281" t="s">
        <v>36</v>
      </c>
      <c r="R281">
        <v>2849.7</v>
      </c>
      <c r="S281">
        <v>3862</v>
      </c>
      <c r="T281">
        <v>78</v>
      </c>
      <c r="U281">
        <v>8018.87</v>
      </c>
      <c r="V281">
        <v>903.67</v>
      </c>
      <c r="W281">
        <v>7115.2</v>
      </c>
      <c r="X281">
        <v>759.88</v>
      </c>
      <c r="Y281" t="s">
        <v>37</v>
      </c>
      <c r="Z281">
        <v>23172</v>
      </c>
      <c r="AA281">
        <v>6073.8000000000011</v>
      </c>
    </row>
    <row r="282" spans="1:27" x14ac:dyDescent="0.3">
      <c r="A282" t="s">
        <v>789</v>
      </c>
      <c r="B282" s="1">
        <v>45120</v>
      </c>
      <c r="C282" t="s">
        <v>298</v>
      </c>
      <c r="D282" t="s">
        <v>399</v>
      </c>
      <c r="E282">
        <v>5</v>
      </c>
      <c r="F282" t="s">
        <v>51</v>
      </c>
      <c r="G282">
        <v>7</v>
      </c>
      <c r="H282" t="s">
        <v>299</v>
      </c>
      <c r="I282" t="s">
        <v>30</v>
      </c>
      <c r="J282">
        <v>60</v>
      </c>
      <c r="K282" t="s">
        <v>60</v>
      </c>
      <c r="L282" t="s">
        <v>53</v>
      </c>
      <c r="M282" s="1">
        <v>45201</v>
      </c>
      <c r="N282" t="s">
        <v>44</v>
      </c>
      <c r="O282" t="s">
        <v>400</v>
      </c>
      <c r="P282" t="s">
        <v>94</v>
      </c>
      <c r="Q282" t="s">
        <v>46</v>
      </c>
      <c r="R282">
        <v>828.79</v>
      </c>
      <c r="S282">
        <v>1227.1300000000001</v>
      </c>
      <c r="T282">
        <v>228</v>
      </c>
      <c r="U282">
        <v>3930.42</v>
      </c>
      <c r="V282">
        <v>778.42</v>
      </c>
      <c r="W282">
        <v>3152</v>
      </c>
      <c r="X282">
        <v>592.88</v>
      </c>
      <c r="Y282" t="s">
        <v>37</v>
      </c>
      <c r="Z282">
        <v>6135.6500000000005</v>
      </c>
      <c r="AA282">
        <v>1991.7000000000007</v>
      </c>
    </row>
    <row r="283" spans="1:27" x14ac:dyDescent="0.3">
      <c r="A283" t="s">
        <v>790</v>
      </c>
      <c r="B283" s="1">
        <v>45200</v>
      </c>
      <c r="C283" t="s">
        <v>732</v>
      </c>
      <c r="D283" t="s">
        <v>259</v>
      </c>
      <c r="E283">
        <v>1</v>
      </c>
      <c r="F283" t="s">
        <v>51</v>
      </c>
      <c r="G283">
        <v>2</v>
      </c>
      <c r="H283" t="s">
        <v>733</v>
      </c>
      <c r="I283" t="s">
        <v>80</v>
      </c>
      <c r="J283">
        <v>32</v>
      </c>
      <c r="K283" t="s">
        <v>73</v>
      </c>
      <c r="L283" t="s">
        <v>32</v>
      </c>
      <c r="M283" s="1">
        <v>45095</v>
      </c>
      <c r="N283" t="s">
        <v>54</v>
      </c>
      <c r="O283" t="s">
        <v>261</v>
      </c>
      <c r="P283" t="s">
        <v>94</v>
      </c>
      <c r="Q283" t="s">
        <v>111</v>
      </c>
      <c r="R283">
        <v>4426.51</v>
      </c>
      <c r="S283">
        <v>5123.7299999999996</v>
      </c>
      <c r="T283">
        <v>298</v>
      </c>
      <c r="U283">
        <v>5457.38</v>
      </c>
      <c r="V283">
        <v>820.04</v>
      </c>
      <c r="W283">
        <v>4637.34</v>
      </c>
      <c r="X283">
        <v>1631.02</v>
      </c>
      <c r="Y283" t="s">
        <v>47</v>
      </c>
      <c r="Z283">
        <v>5123.7299999999996</v>
      </c>
      <c r="AA283">
        <v>697.21999999999935</v>
      </c>
    </row>
    <row r="284" spans="1:27" x14ac:dyDescent="0.3">
      <c r="A284" t="s">
        <v>791</v>
      </c>
      <c r="B284" s="1">
        <v>45225</v>
      </c>
      <c r="C284" t="s">
        <v>505</v>
      </c>
      <c r="D284" t="s">
        <v>102</v>
      </c>
      <c r="E284">
        <v>5</v>
      </c>
      <c r="F284" t="s">
        <v>28</v>
      </c>
      <c r="G284">
        <v>9</v>
      </c>
      <c r="H284" t="s">
        <v>506</v>
      </c>
      <c r="I284" t="s">
        <v>80</v>
      </c>
      <c r="J284">
        <v>42</v>
      </c>
      <c r="K284" t="s">
        <v>65</v>
      </c>
      <c r="L284" t="s">
        <v>66</v>
      </c>
      <c r="M284" s="1">
        <v>45509</v>
      </c>
      <c r="N284" t="s">
        <v>33</v>
      </c>
      <c r="O284" t="s">
        <v>103</v>
      </c>
      <c r="P284" t="s">
        <v>94</v>
      </c>
      <c r="Q284" t="s">
        <v>46</v>
      </c>
      <c r="R284">
        <v>4398.43</v>
      </c>
      <c r="S284">
        <v>6683.28</v>
      </c>
      <c r="T284">
        <v>152</v>
      </c>
      <c r="U284">
        <v>19073.64</v>
      </c>
      <c r="V284">
        <v>1693.04</v>
      </c>
      <c r="W284">
        <v>17380.599999999999</v>
      </c>
      <c r="X284">
        <v>311.77999999999997</v>
      </c>
      <c r="Y284" t="s">
        <v>47</v>
      </c>
      <c r="Z284">
        <v>33416.400000000001</v>
      </c>
      <c r="AA284">
        <v>11424.249999999996</v>
      </c>
    </row>
    <row r="285" spans="1:27" x14ac:dyDescent="0.3">
      <c r="A285" t="s">
        <v>792</v>
      </c>
      <c r="B285" s="1">
        <v>45205</v>
      </c>
      <c r="C285" t="s">
        <v>544</v>
      </c>
      <c r="D285" t="s">
        <v>106</v>
      </c>
      <c r="E285">
        <v>2</v>
      </c>
      <c r="F285" t="s">
        <v>28</v>
      </c>
      <c r="G285">
        <v>0</v>
      </c>
      <c r="H285" t="s">
        <v>545</v>
      </c>
      <c r="I285" t="s">
        <v>30</v>
      </c>
      <c r="J285">
        <v>24</v>
      </c>
      <c r="K285" t="s">
        <v>60</v>
      </c>
      <c r="L285" t="s">
        <v>32</v>
      </c>
      <c r="M285" s="1">
        <v>44885</v>
      </c>
      <c r="N285" t="s">
        <v>33</v>
      </c>
      <c r="O285" t="s">
        <v>109</v>
      </c>
      <c r="P285" t="s">
        <v>110</v>
      </c>
      <c r="Q285" t="s">
        <v>111</v>
      </c>
      <c r="R285">
        <v>1622.17</v>
      </c>
      <c r="S285">
        <v>1993.72</v>
      </c>
      <c r="T285">
        <v>262</v>
      </c>
      <c r="U285">
        <v>2445.75</v>
      </c>
      <c r="V285">
        <v>362.22</v>
      </c>
      <c r="W285">
        <v>2083.5300000000002</v>
      </c>
      <c r="X285">
        <v>2261.4699999999998</v>
      </c>
      <c r="Y285" t="s">
        <v>37</v>
      </c>
      <c r="Z285">
        <v>3987.44</v>
      </c>
      <c r="AA285">
        <v>743.09999999999991</v>
      </c>
    </row>
    <row r="286" spans="1:27" x14ac:dyDescent="0.3">
      <c r="A286" t="s">
        <v>793</v>
      </c>
      <c r="B286" s="1">
        <v>45009</v>
      </c>
      <c r="C286" t="s">
        <v>718</v>
      </c>
      <c r="D286" t="s">
        <v>129</v>
      </c>
      <c r="E286">
        <v>3</v>
      </c>
      <c r="F286" t="s">
        <v>78</v>
      </c>
      <c r="G286">
        <v>11</v>
      </c>
      <c r="H286" t="s">
        <v>719</v>
      </c>
      <c r="I286" t="s">
        <v>30</v>
      </c>
      <c r="J286">
        <v>47</v>
      </c>
      <c r="K286" t="s">
        <v>155</v>
      </c>
      <c r="L286" t="s">
        <v>108</v>
      </c>
      <c r="M286" s="1">
        <v>44932</v>
      </c>
      <c r="N286" t="s">
        <v>33</v>
      </c>
      <c r="O286" t="s">
        <v>131</v>
      </c>
      <c r="P286" t="s">
        <v>68</v>
      </c>
      <c r="Q286" t="s">
        <v>111</v>
      </c>
      <c r="R286">
        <v>4948.75</v>
      </c>
      <c r="S286">
        <v>6628.41</v>
      </c>
      <c r="T286">
        <v>268</v>
      </c>
      <c r="U286">
        <v>766.83</v>
      </c>
      <c r="V286">
        <v>120.55</v>
      </c>
      <c r="W286">
        <v>646.28</v>
      </c>
      <c r="X286">
        <v>1670.62</v>
      </c>
      <c r="Y286" t="s">
        <v>47</v>
      </c>
      <c r="Z286">
        <v>19885.23</v>
      </c>
      <c r="AA286">
        <v>5038.9799999999996</v>
      </c>
    </row>
    <row r="287" spans="1:27" x14ac:dyDescent="0.3">
      <c r="A287" t="s">
        <v>794</v>
      </c>
      <c r="B287" s="1">
        <v>44963</v>
      </c>
      <c r="C287" t="s">
        <v>795</v>
      </c>
      <c r="D287" t="s">
        <v>177</v>
      </c>
      <c r="E287">
        <v>6</v>
      </c>
      <c r="F287" t="s">
        <v>28</v>
      </c>
      <c r="G287">
        <v>24</v>
      </c>
      <c r="H287" t="s">
        <v>796</v>
      </c>
      <c r="I287" t="s">
        <v>80</v>
      </c>
      <c r="J287">
        <v>22</v>
      </c>
      <c r="K287" t="s">
        <v>60</v>
      </c>
      <c r="L287" t="s">
        <v>81</v>
      </c>
      <c r="M287" s="1">
        <v>45106</v>
      </c>
      <c r="N287" t="s">
        <v>54</v>
      </c>
      <c r="O287" t="s">
        <v>179</v>
      </c>
      <c r="P287" t="s">
        <v>35</v>
      </c>
      <c r="Q287" t="s">
        <v>46</v>
      </c>
      <c r="R287">
        <v>926.86</v>
      </c>
      <c r="S287">
        <v>1109.73</v>
      </c>
      <c r="T287">
        <v>287</v>
      </c>
      <c r="U287">
        <v>13005.74</v>
      </c>
      <c r="V287">
        <v>2753.17</v>
      </c>
      <c r="W287">
        <v>10252.57</v>
      </c>
      <c r="X287">
        <v>2108.39</v>
      </c>
      <c r="Y287" t="s">
        <v>47</v>
      </c>
      <c r="Z287">
        <v>6658.38</v>
      </c>
      <c r="AA287">
        <v>1097.22</v>
      </c>
    </row>
    <row r="288" spans="1:27" x14ac:dyDescent="0.3">
      <c r="A288" t="s">
        <v>797</v>
      </c>
      <c r="B288" s="1">
        <v>45071</v>
      </c>
      <c r="C288" t="s">
        <v>338</v>
      </c>
      <c r="D288" t="s">
        <v>287</v>
      </c>
      <c r="E288">
        <v>4</v>
      </c>
      <c r="F288" t="s">
        <v>90</v>
      </c>
      <c r="G288">
        <v>9</v>
      </c>
      <c r="H288" t="s">
        <v>339</v>
      </c>
      <c r="I288" t="s">
        <v>80</v>
      </c>
      <c r="J288">
        <v>23</v>
      </c>
      <c r="K288" t="s">
        <v>60</v>
      </c>
      <c r="L288" t="s">
        <v>43</v>
      </c>
      <c r="M288" s="1">
        <v>45385</v>
      </c>
      <c r="N288" t="s">
        <v>44</v>
      </c>
      <c r="O288" t="s">
        <v>288</v>
      </c>
      <c r="P288" t="s">
        <v>68</v>
      </c>
      <c r="Q288" t="s">
        <v>46</v>
      </c>
      <c r="R288">
        <v>2345.7800000000002</v>
      </c>
      <c r="S288">
        <v>2891.96</v>
      </c>
      <c r="T288">
        <v>122</v>
      </c>
      <c r="U288">
        <v>19671.419999999998</v>
      </c>
      <c r="V288">
        <v>2348.5100000000002</v>
      </c>
      <c r="W288">
        <v>17322.91</v>
      </c>
      <c r="X288">
        <v>209.81</v>
      </c>
      <c r="Y288" t="s">
        <v>56</v>
      </c>
      <c r="Z288">
        <v>11567.84</v>
      </c>
      <c r="AA288">
        <v>2184.7199999999993</v>
      </c>
    </row>
    <row r="289" spans="1:27" x14ac:dyDescent="0.3">
      <c r="A289" t="s">
        <v>798</v>
      </c>
      <c r="B289" s="1">
        <v>45208</v>
      </c>
      <c r="C289" t="s">
        <v>353</v>
      </c>
      <c r="D289" t="s">
        <v>399</v>
      </c>
      <c r="E289">
        <v>2</v>
      </c>
      <c r="F289" t="s">
        <v>90</v>
      </c>
      <c r="G289">
        <v>3</v>
      </c>
      <c r="H289" t="s">
        <v>355</v>
      </c>
      <c r="I289" t="s">
        <v>80</v>
      </c>
      <c r="J289">
        <v>28</v>
      </c>
      <c r="K289" t="s">
        <v>42</v>
      </c>
      <c r="L289" t="s">
        <v>43</v>
      </c>
      <c r="M289" s="1">
        <v>44997</v>
      </c>
      <c r="N289" t="s">
        <v>33</v>
      </c>
      <c r="O289" t="s">
        <v>400</v>
      </c>
      <c r="P289" t="s">
        <v>94</v>
      </c>
      <c r="Q289" t="s">
        <v>46</v>
      </c>
      <c r="R289">
        <v>828.79</v>
      </c>
      <c r="S289">
        <v>1227.1300000000001</v>
      </c>
      <c r="T289">
        <v>228</v>
      </c>
      <c r="U289">
        <v>16125.78</v>
      </c>
      <c r="V289">
        <v>2224.48</v>
      </c>
      <c r="W289">
        <v>13901.3</v>
      </c>
      <c r="X289">
        <v>3379.69</v>
      </c>
      <c r="Y289" t="s">
        <v>37</v>
      </c>
      <c r="Z289">
        <v>2454.2600000000002</v>
      </c>
      <c r="AA289">
        <v>796.68000000000029</v>
      </c>
    </row>
    <row r="290" spans="1:27" x14ac:dyDescent="0.3">
      <c r="A290" t="s">
        <v>799</v>
      </c>
      <c r="B290" s="1">
        <v>44977</v>
      </c>
      <c r="C290" t="s">
        <v>509</v>
      </c>
      <c r="D290" t="s">
        <v>329</v>
      </c>
      <c r="E290">
        <v>6</v>
      </c>
      <c r="F290" t="s">
        <v>78</v>
      </c>
      <c r="G290">
        <v>21</v>
      </c>
      <c r="H290" t="s">
        <v>511</v>
      </c>
      <c r="I290" t="s">
        <v>80</v>
      </c>
      <c r="J290">
        <v>46</v>
      </c>
      <c r="K290" t="s">
        <v>60</v>
      </c>
      <c r="L290" t="s">
        <v>43</v>
      </c>
      <c r="M290" s="1">
        <v>44961</v>
      </c>
      <c r="N290" t="s">
        <v>54</v>
      </c>
      <c r="O290" t="s">
        <v>330</v>
      </c>
      <c r="P290" t="s">
        <v>94</v>
      </c>
      <c r="Q290" t="s">
        <v>46</v>
      </c>
      <c r="R290">
        <v>3358.26</v>
      </c>
      <c r="S290">
        <v>4345.1099999999997</v>
      </c>
      <c r="T290">
        <v>179</v>
      </c>
      <c r="U290">
        <v>5116.07</v>
      </c>
      <c r="V290">
        <v>431.84</v>
      </c>
      <c r="W290">
        <v>4684.2299999999996</v>
      </c>
      <c r="X290">
        <v>2246.4699999999998</v>
      </c>
      <c r="Y290" t="s">
        <v>83</v>
      </c>
      <c r="Z290">
        <v>26070.659999999996</v>
      </c>
      <c r="AA290">
        <v>5921.0999999999967</v>
      </c>
    </row>
    <row r="291" spans="1:27" x14ac:dyDescent="0.3">
      <c r="A291" t="s">
        <v>800</v>
      </c>
      <c r="B291" s="1">
        <v>45064</v>
      </c>
      <c r="C291" t="s">
        <v>76</v>
      </c>
      <c r="D291" t="s">
        <v>230</v>
      </c>
      <c r="E291">
        <v>1</v>
      </c>
      <c r="F291" t="s">
        <v>28</v>
      </c>
      <c r="G291">
        <v>7</v>
      </c>
      <c r="H291" t="s">
        <v>79</v>
      </c>
      <c r="I291" t="s">
        <v>80</v>
      </c>
      <c r="J291">
        <v>31</v>
      </c>
      <c r="K291" t="s">
        <v>42</v>
      </c>
      <c r="L291" t="s">
        <v>81</v>
      </c>
      <c r="M291" s="1">
        <v>44760</v>
      </c>
      <c r="N291" t="s">
        <v>33</v>
      </c>
      <c r="O291" t="s">
        <v>232</v>
      </c>
      <c r="P291" t="s">
        <v>110</v>
      </c>
      <c r="Q291" t="s">
        <v>46</v>
      </c>
      <c r="R291">
        <v>4570.75</v>
      </c>
      <c r="S291">
        <v>5891.26</v>
      </c>
      <c r="T291">
        <v>285</v>
      </c>
      <c r="U291">
        <v>1907.33</v>
      </c>
      <c r="V291">
        <v>411.18</v>
      </c>
      <c r="W291">
        <v>1496.15</v>
      </c>
      <c r="X291">
        <v>1927.59</v>
      </c>
      <c r="Y291" t="s">
        <v>83</v>
      </c>
      <c r="Z291">
        <v>5891.26</v>
      </c>
      <c r="AA291">
        <v>1320.5100000000002</v>
      </c>
    </row>
    <row r="292" spans="1:27" x14ac:dyDescent="0.3">
      <c r="A292" t="s">
        <v>801</v>
      </c>
      <c r="B292" s="1">
        <v>44957</v>
      </c>
      <c r="C292" t="s">
        <v>133</v>
      </c>
      <c r="D292" t="s">
        <v>246</v>
      </c>
      <c r="E292">
        <v>3</v>
      </c>
      <c r="F292" t="s">
        <v>78</v>
      </c>
      <c r="G292">
        <v>1</v>
      </c>
      <c r="H292" t="s">
        <v>135</v>
      </c>
      <c r="I292" t="s">
        <v>30</v>
      </c>
      <c r="J292">
        <v>50</v>
      </c>
      <c r="K292" t="s">
        <v>42</v>
      </c>
      <c r="L292" t="s">
        <v>43</v>
      </c>
      <c r="M292" s="1">
        <v>44967</v>
      </c>
      <c r="N292" t="s">
        <v>33</v>
      </c>
      <c r="O292" t="s">
        <v>247</v>
      </c>
      <c r="P292" t="s">
        <v>110</v>
      </c>
      <c r="Q292" t="s">
        <v>120</v>
      </c>
      <c r="R292">
        <v>4133.24</v>
      </c>
      <c r="S292">
        <v>6302.13</v>
      </c>
      <c r="T292">
        <v>299</v>
      </c>
      <c r="U292">
        <v>19434.05</v>
      </c>
      <c r="V292">
        <v>829.15</v>
      </c>
      <c r="W292">
        <v>18604.900000000001</v>
      </c>
      <c r="X292">
        <v>645.35</v>
      </c>
      <c r="Y292" t="s">
        <v>47</v>
      </c>
      <c r="Z292">
        <v>18906.39</v>
      </c>
      <c r="AA292">
        <v>6506.670000000001</v>
      </c>
    </row>
    <row r="293" spans="1:27" x14ac:dyDescent="0.3">
      <c r="A293" t="s">
        <v>802</v>
      </c>
      <c r="B293" s="1">
        <v>44935</v>
      </c>
      <c r="C293" t="s">
        <v>444</v>
      </c>
      <c r="D293" t="s">
        <v>246</v>
      </c>
      <c r="E293">
        <v>1</v>
      </c>
      <c r="F293" t="s">
        <v>78</v>
      </c>
      <c r="G293">
        <v>19</v>
      </c>
      <c r="H293" t="s">
        <v>445</v>
      </c>
      <c r="I293" t="s">
        <v>80</v>
      </c>
      <c r="J293">
        <v>37</v>
      </c>
      <c r="K293" t="s">
        <v>42</v>
      </c>
      <c r="L293" t="s">
        <v>66</v>
      </c>
      <c r="M293" s="1">
        <v>44919</v>
      </c>
      <c r="N293" t="s">
        <v>54</v>
      </c>
      <c r="O293" t="s">
        <v>247</v>
      </c>
      <c r="P293" t="s">
        <v>110</v>
      </c>
      <c r="Q293" t="s">
        <v>120</v>
      </c>
      <c r="R293">
        <v>4133.24</v>
      </c>
      <c r="S293">
        <v>6302.13</v>
      </c>
      <c r="T293">
        <v>299</v>
      </c>
      <c r="U293">
        <v>8825.5</v>
      </c>
      <c r="V293">
        <v>1703.87</v>
      </c>
      <c r="W293">
        <v>7121.63</v>
      </c>
      <c r="X293">
        <v>4214.92</v>
      </c>
      <c r="Y293" t="s">
        <v>56</v>
      </c>
      <c r="Z293">
        <v>6302.13</v>
      </c>
      <c r="AA293">
        <v>2168.8900000000003</v>
      </c>
    </row>
    <row r="294" spans="1:27" x14ac:dyDescent="0.3">
      <c r="A294" t="s">
        <v>803</v>
      </c>
      <c r="B294" s="1">
        <v>45279</v>
      </c>
      <c r="C294" t="s">
        <v>438</v>
      </c>
      <c r="D294" t="s">
        <v>471</v>
      </c>
      <c r="E294">
        <v>3</v>
      </c>
      <c r="F294" t="s">
        <v>90</v>
      </c>
      <c r="G294">
        <v>16</v>
      </c>
      <c r="H294" t="s">
        <v>439</v>
      </c>
      <c r="I294" t="s">
        <v>30</v>
      </c>
      <c r="J294">
        <v>57</v>
      </c>
      <c r="K294" t="s">
        <v>53</v>
      </c>
      <c r="L294" t="s">
        <v>43</v>
      </c>
      <c r="M294" s="1">
        <v>45545</v>
      </c>
      <c r="N294" t="s">
        <v>33</v>
      </c>
      <c r="O294" t="s">
        <v>473</v>
      </c>
      <c r="P294" t="s">
        <v>68</v>
      </c>
      <c r="Q294" t="s">
        <v>120</v>
      </c>
      <c r="R294">
        <v>1492.62</v>
      </c>
      <c r="S294">
        <v>2285.1999999999998</v>
      </c>
      <c r="T294">
        <v>106</v>
      </c>
      <c r="U294">
        <v>19181.62</v>
      </c>
      <c r="V294">
        <v>198.22</v>
      </c>
      <c r="W294">
        <v>18983.400000000001</v>
      </c>
      <c r="X294">
        <v>3115.44</v>
      </c>
      <c r="Y294" t="s">
        <v>37</v>
      </c>
      <c r="Z294">
        <v>6855.5999999999995</v>
      </c>
      <c r="AA294">
        <v>2377.7399999999998</v>
      </c>
    </row>
    <row r="295" spans="1:27" x14ac:dyDescent="0.3">
      <c r="A295" t="s">
        <v>804</v>
      </c>
      <c r="B295" s="1">
        <v>45059</v>
      </c>
      <c r="C295" t="s">
        <v>501</v>
      </c>
      <c r="D295" t="s">
        <v>146</v>
      </c>
      <c r="E295">
        <v>5</v>
      </c>
      <c r="F295" t="s">
        <v>51</v>
      </c>
      <c r="G295">
        <v>0</v>
      </c>
      <c r="H295" t="s">
        <v>502</v>
      </c>
      <c r="I295" t="s">
        <v>80</v>
      </c>
      <c r="J295">
        <v>34</v>
      </c>
      <c r="K295" t="s">
        <v>92</v>
      </c>
      <c r="L295" t="s">
        <v>43</v>
      </c>
      <c r="M295" s="1">
        <v>45698</v>
      </c>
      <c r="N295" t="s">
        <v>44</v>
      </c>
      <c r="O295" t="s">
        <v>147</v>
      </c>
      <c r="P295" t="s">
        <v>94</v>
      </c>
      <c r="Q295" t="s">
        <v>111</v>
      </c>
      <c r="R295">
        <v>662.05</v>
      </c>
      <c r="S295">
        <v>1019.21</v>
      </c>
      <c r="T295">
        <v>49</v>
      </c>
      <c r="U295">
        <v>16243.6</v>
      </c>
      <c r="V295">
        <v>1703.98</v>
      </c>
      <c r="W295">
        <v>14539.62</v>
      </c>
      <c r="X295">
        <v>2943.63</v>
      </c>
      <c r="Y295" t="s">
        <v>56</v>
      </c>
      <c r="Z295">
        <v>5096.05</v>
      </c>
      <c r="AA295">
        <v>1785.8000000000004</v>
      </c>
    </row>
    <row r="296" spans="1:27" x14ac:dyDescent="0.3">
      <c r="A296" t="s">
        <v>805</v>
      </c>
      <c r="B296" s="1">
        <v>45099</v>
      </c>
      <c r="C296" t="s">
        <v>806</v>
      </c>
      <c r="D296" t="s">
        <v>230</v>
      </c>
      <c r="E296">
        <v>1</v>
      </c>
      <c r="F296" t="s">
        <v>90</v>
      </c>
      <c r="G296">
        <v>7</v>
      </c>
      <c r="H296" t="s">
        <v>807</v>
      </c>
      <c r="I296" t="s">
        <v>30</v>
      </c>
      <c r="J296">
        <v>37</v>
      </c>
      <c r="K296" t="s">
        <v>53</v>
      </c>
      <c r="L296" t="s">
        <v>43</v>
      </c>
      <c r="M296" s="1">
        <v>45212</v>
      </c>
      <c r="N296" t="s">
        <v>33</v>
      </c>
      <c r="O296" t="s">
        <v>232</v>
      </c>
      <c r="P296" t="s">
        <v>110</v>
      </c>
      <c r="Q296" t="s">
        <v>46</v>
      </c>
      <c r="R296">
        <v>4570.75</v>
      </c>
      <c r="S296">
        <v>5891.26</v>
      </c>
      <c r="T296">
        <v>285</v>
      </c>
      <c r="U296">
        <v>14025.68</v>
      </c>
      <c r="V296">
        <v>1690.25</v>
      </c>
      <c r="W296">
        <v>12335.43</v>
      </c>
      <c r="X296">
        <v>3643.37</v>
      </c>
      <c r="Y296" t="s">
        <v>47</v>
      </c>
      <c r="Z296">
        <v>5891.26</v>
      </c>
      <c r="AA296">
        <v>1320.5100000000002</v>
      </c>
    </row>
    <row r="297" spans="1:27" x14ac:dyDescent="0.3">
      <c r="A297" t="s">
        <v>808</v>
      </c>
      <c r="B297" s="1">
        <v>45115</v>
      </c>
      <c r="C297" t="s">
        <v>736</v>
      </c>
      <c r="D297" t="s">
        <v>255</v>
      </c>
      <c r="E297">
        <v>3</v>
      </c>
      <c r="F297" t="s">
        <v>78</v>
      </c>
      <c r="G297">
        <v>9</v>
      </c>
      <c r="H297" t="s">
        <v>737</v>
      </c>
      <c r="I297" t="s">
        <v>30</v>
      </c>
      <c r="J297">
        <v>37</v>
      </c>
      <c r="K297" t="s">
        <v>65</v>
      </c>
      <c r="L297" t="s">
        <v>43</v>
      </c>
      <c r="M297" s="1">
        <v>45600</v>
      </c>
      <c r="N297" t="s">
        <v>54</v>
      </c>
      <c r="O297" t="s">
        <v>256</v>
      </c>
      <c r="P297" t="s">
        <v>110</v>
      </c>
      <c r="Q297" t="s">
        <v>36</v>
      </c>
      <c r="R297">
        <v>1637.53</v>
      </c>
      <c r="S297">
        <v>1892.5</v>
      </c>
      <c r="T297">
        <v>169</v>
      </c>
      <c r="U297">
        <v>4206.5600000000004</v>
      </c>
      <c r="V297">
        <v>872.49</v>
      </c>
      <c r="W297">
        <v>3334.07</v>
      </c>
      <c r="X297">
        <v>3221.69</v>
      </c>
      <c r="Y297" t="s">
        <v>47</v>
      </c>
      <c r="Z297">
        <v>5677.5</v>
      </c>
      <c r="AA297">
        <v>764.91000000000008</v>
      </c>
    </row>
    <row r="298" spans="1:27" x14ac:dyDescent="0.3">
      <c r="A298" t="s">
        <v>809</v>
      </c>
      <c r="B298" s="1">
        <v>45163</v>
      </c>
      <c r="C298" t="s">
        <v>768</v>
      </c>
      <c r="D298" t="s">
        <v>246</v>
      </c>
      <c r="E298">
        <v>5</v>
      </c>
      <c r="F298" t="s">
        <v>28</v>
      </c>
      <c r="G298">
        <v>25</v>
      </c>
      <c r="H298" t="s">
        <v>769</v>
      </c>
      <c r="I298" t="s">
        <v>30</v>
      </c>
      <c r="J298">
        <v>42</v>
      </c>
      <c r="K298" t="s">
        <v>92</v>
      </c>
      <c r="L298" t="s">
        <v>53</v>
      </c>
      <c r="M298" s="1">
        <v>44591</v>
      </c>
      <c r="N298" t="s">
        <v>44</v>
      </c>
      <c r="O298" t="s">
        <v>247</v>
      </c>
      <c r="P298" t="s">
        <v>110</v>
      </c>
      <c r="Q298" t="s">
        <v>120</v>
      </c>
      <c r="R298">
        <v>4133.24</v>
      </c>
      <c r="S298">
        <v>6302.13</v>
      </c>
      <c r="T298">
        <v>299</v>
      </c>
      <c r="U298">
        <v>14656.11</v>
      </c>
      <c r="V298">
        <v>3199.1</v>
      </c>
      <c r="W298">
        <v>11457.01</v>
      </c>
      <c r="X298">
        <v>197.69</v>
      </c>
      <c r="Y298" t="s">
        <v>56</v>
      </c>
      <c r="Z298">
        <v>31510.65</v>
      </c>
      <c r="AA298">
        <v>10844.45</v>
      </c>
    </row>
    <row r="299" spans="1:27" x14ac:dyDescent="0.3">
      <c r="A299" t="s">
        <v>810</v>
      </c>
      <c r="B299" s="1">
        <v>45281</v>
      </c>
      <c r="C299" t="s">
        <v>419</v>
      </c>
      <c r="D299" t="s">
        <v>177</v>
      </c>
      <c r="E299">
        <v>2</v>
      </c>
      <c r="F299" t="s">
        <v>28</v>
      </c>
      <c r="G299">
        <v>19</v>
      </c>
      <c r="H299" t="s">
        <v>421</v>
      </c>
      <c r="I299" t="s">
        <v>30</v>
      </c>
      <c r="J299">
        <v>23</v>
      </c>
      <c r="K299" t="s">
        <v>65</v>
      </c>
      <c r="L299" t="s">
        <v>43</v>
      </c>
      <c r="M299" s="1">
        <v>45113</v>
      </c>
      <c r="N299" t="s">
        <v>44</v>
      </c>
      <c r="O299" t="s">
        <v>179</v>
      </c>
      <c r="P299" t="s">
        <v>35</v>
      </c>
      <c r="Q299" t="s">
        <v>46</v>
      </c>
      <c r="R299">
        <v>926.86</v>
      </c>
      <c r="S299">
        <v>1109.73</v>
      </c>
      <c r="T299">
        <v>287</v>
      </c>
      <c r="U299">
        <v>3576.52</v>
      </c>
      <c r="V299">
        <v>891.6</v>
      </c>
      <c r="W299">
        <v>2684.92</v>
      </c>
      <c r="X299">
        <v>452.1</v>
      </c>
      <c r="Y299" t="s">
        <v>83</v>
      </c>
      <c r="Z299">
        <v>2219.46</v>
      </c>
      <c r="AA299">
        <v>365.74</v>
      </c>
    </row>
    <row r="300" spans="1:27" x14ac:dyDescent="0.3">
      <c r="A300" t="s">
        <v>811</v>
      </c>
      <c r="B300" s="1">
        <v>45138</v>
      </c>
      <c r="C300" t="s">
        <v>624</v>
      </c>
      <c r="D300" t="s">
        <v>202</v>
      </c>
      <c r="E300">
        <v>3</v>
      </c>
      <c r="F300" t="s">
        <v>78</v>
      </c>
      <c r="G300">
        <v>12</v>
      </c>
      <c r="H300" t="s">
        <v>625</v>
      </c>
      <c r="I300" t="s">
        <v>30</v>
      </c>
      <c r="J300">
        <v>39</v>
      </c>
      <c r="K300" t="s">
        <v>92</v>
      </c>
      <c r="L300" t="s">
        <v>32</v>
      </c>
      <c r="M300" s="1">
        <v>45728</v>
      </c>
      <c r="N300" t="s">
        <v>44</v>
      </c>
      <c r="O300" t="s">
        <v>204</v>
      </c>
      <c r="P300" t="s">
        <v>110</v>
      </c>
      <c r="Q300" t="s">
        <v>111</v>
      </c>
      <c r="R300">
        <v>830.87</v>
      </c>
      <c r="S300">
        <v>1283.0999999999999</v>
      </c>
      <c r="T300">
        <v>46</v>
      </c>
      <c r="U300">
        <v>9976.9599999999991</v>
      </c>
      <c r="V300">
        <v>293.33</v>
      </c>
      <c r="W300">
        <v>9683.6299999999992</v>
      </c>
      <c r="X300">
        <v>4189.12</v>
      </c>
      <c r="Y300" t="s">
        <v>83</v>
      </c>
      <c r="Z300">
        <v>3849.2999999999997</v>
      </c>
      <c r="AA300">
        <v>1356.6899999999996</v>
      </c>
    </row>
    <row r="301" spans="1:27" x14ac:dyDescent="0.3">
      <c r="A301" t="s">
        <v>812</v>
      </c>
      <c r="B301" s="1">
        <v>44939</v>
      </c>
      <c r="C301" t="s">
        <v>438</v>
      </c>
      <c r="D301" t="s">
        <v>246</v>
      </c>
      <c r="E301">
        <v>5</v>
      </c>
      <c r="F301" t="s">
        <v>90</v>
      </c>
      <c r="G301">
        <v>2</v>
      </c>
      <c r="H301" t="s">
        <v>439</v>
      </c>
      <c r="I301" t="s">
        <v>30</v>
      </c>
      <c r="J301">
        <v>57</v>
      </c>
      <c r="K301" t="s">
        <v>53</v>
      </c>
      <c r="L301" t="s">
        <v>43</v>
      </c>
      <c r="M301" s="1">
        <v>45545</v>
      </c>
      <c r="N301" t="s">
        <v>33</v>
      </c>
      <c r="O301" t="s">
        <v>247</v>
      </c>
      <c r="P301" t="s">
        <v>110</v>
      </c>
      <c r="Q301" t="s">
        <v>120</v>
      </c>
      <c r="R301">
        <v>4133.24</v>
      </c>
      <c r="S301">
        <v>6302.13</v>
      </c>
      <c r="T301">
        <v>299</v>
      </c>
      <c r="U301">
        <v>15309.6</v>
      </c>
      <c r="V301">
        <v>1848.93</v>
      </c>
      <c r="W301">
        <v>13460.67</v>
      </c>
      <c r="X301">
        <v>3224.89</v>
      </c>
      <c r="Y301" t="s">
        <v>83</v>
      </c>
      <c r="Z301">
        <v>31510.65</v>
      </c>
      <c r="AA301">
        <v>10844.45</v>
      </c>
    </row>
    <row r="302" spans="1:27" x14ac:dyDescent="0.3">
      <c r="A302" t="s">
        <v>813</v>
      </c>
      <c r="B302" s="1">
        <v>45205</v>
      </c>
      <c r="C302" t="s">
        <v>814</v>
      </c>
      <c r="D302" t="s">
        <v>287</v>
      </c>
      <c r="E302">
        <v>1</v>
      </c>
      <c r="F302" t="s">
        <v>78</v>
      </c>
      <c r="G302">
        <v>1</v>
      </c>
      <c r="H302" t="s">
        <v>815</v>
      </c>
      <c r="I302" t="s">
        <v>80</v>
      </c>
      <c r="J302">
        <v>34</v>
      </c>
      <c r="K302" t="s">
        <v>155</v>
      </c>
      <c r="L302" t="s">
        <v>108</v>
      </c>
      <c r="M302" s="1">
        <v>45459</v>
      </c>
      <c r="N302" t="s">
        <v>54</v>
      </c>
      <c r="O302" t="s">
        <v>288</v>
      </c>
      <c r="P302" t="s">
        <v>68</v>
      </c>
      <c r="Q302" t="s">
        <v>46</v>
      </c>
      <c r="R302">
        <v>2345.7800000000002</v>
      </c>
      <c r="S302">
        <v>2891.96</v>
      </c>
      <c r="T302">
        <v>122</v>
      </c>
      <c r="U302">
        <v>17012.509999999998</v>
      </c>
      <c r="V302">
        <v>1636.62</v>
      </c>
      <c r="W302">
        <v>15375.89</v>
      </c>
      <c r="X302">
        <v>144.72999999999999</v>
      </c>
      <c r="Y302" t="s">
        <v>56</v>
      </c>
      <c r="Z302">
        <v>2891.96</v>
      </c>
      <c r="AA302">
        <v>546.17999999999984</v>
      </c>
    </row>
    <row r="303" spans="1:27" x14ac:dyDescent="0.3">
      <c r="A303" t="s">
        <v>816</v>
      </c>
      <c r="B303" s="1">
        <v>44994</v>
      </c>
      <c r="C303" t="s">
        <v>746</v>
      </c>
      <c r="D303" t="s">
        <v>146</v>
      </c>
      <c r="E303">
        <v>2</v>
      </c>
      <c r="F303" t="s">
        <v>28</v>
      </c>
      <c r="G303">
        <v>6</v>
      </c>
      <c r="H303" t="s">
        <v>747</v>
      </c>
      <c r="I303" t="s">
        <v>80</v>
      </c>
      <c r="J303">
        <v>46</v>
      </c>
      <c r="K303" t="s">
        <v>42</v>
      </c>
      <c r="L303" t="s">
        <v>66</v>
      </c>
      <c r="M303" s="1">
        <v>44678</v>
      </c>
      <c r="N303" t="s">
        <v>33</v>
      </c>
      <c r="O303" t="s">
        <v>147</v>
      </c>
      <c r="P303" t="s">
        <v>94</v>
      </c>
      <c r="Q303" t="s">
        <v>111</v>
      </c>
      <c r="R303">
        <v>662.05</v>
      </c>
      <c r="S303">
        <v>1019.21</v>
      </c>
      <c r="T303">
        <v>49</v>
      </c>
      <c r="U303">
        <v>15985.31</v>
      </c>
      <c r="V303">
        <v>2252.38</v>
      </c>
      <c r="W303">
        <v>13732.93</v>
      </c>
      <c r="X303">
        <v>345.74</v>
      </c>
      <c r="Y303" t="s">
        <v>56</v>
      </c>
      <c r="Z303">
        <v>2038.42</v>
      </c>
      <c r="AA303">
        <v>714.32000000000016</v>
      </c>
    </row>
    <row r="304" spans="1:27" x14ac:dyDescent="0.3">
      <c r="A304" t="s">
        <v>817</v>
      </c>
      <c r="B304" s="1">
        <v>44979</v>
      </c>
      <c r="C304" t="s">
        <v>759</v>
      </c>
      <c r="D304" t="s">
        <v>510</v>
      </c>
      <c r="E304">
        <v>3</v>
      </c>
      <c r="F304" t="s">
        <v>78</v>
      </c>
      <c r="G304">
        <v>18</v>
      </c>
      <c r="H304" t="s">
        <v>760</v>
      </c>
      <c r="I304" t="s">
        <v>80</v>
      </c>
      <c r="J304">
        <v>41</v>
      </c>
      <c r="K304" t="s">
        <v>155</v>
      </c>
      <c r="L304" t="s">
        <v>53</v>
      </c>
      <c r="M304" s="1">
        <v>44752</v>
      </c>
      <c r="N304" t="s">
        <v>54</v>
      </c>
      <c r="O304" t="s">
        <v>512</v>
      </c>
      <c r="P304" t="s">
        <v>110</v>
      </c>
      <c r="Q304" t="s">
        <v>36</v>
      </c>
      <c r="R304">
        <v>952.01</v>
      </c>
      <c r="S304">
        <v>1107.5</v>
      </c>
      <c r="T304">
        <v>162</v>
      </c>
      <c r="U304">
        <v>1033.9000000000001</v>
      </c>
      <c r="V304">
        <v>124.89</v>
      </c>
      <c r="W304">
        <v>909.01</v>
      </c>
      <c r="X304">
        <v>3702.36</v>
      </c>
      <c r="Y304" t="s">
        <v>83</v>
      </c>
      <c r="Z304">
        <v>3322.5</v>
      </c>
      <c r="AA304">
        <v>466.47</v>
      </c>
    </row>
    <row r="305" spans="1:27" x14ac:dyDescent="0.3">
      <c r="A305" t="s">
        <v>818</v>
      </c>
      <c r="B305" s="1">
        <v>44984</v>
      </c>
      <c r="C305" t="s">
        <v>362</v>
      </c>
      <c r="D305" t="s">
        <v>272</v>
      </c>
      <c r="E305">
        <v>1</v>
      </c>
      <c r="F305" t="s">
        <v>51</v>
      </c>
      <c r="G305">
        <v>12</v>
      </c>
      <c r="H305" t="s">
        <v>363</v>
      </c>
      <c r="I305" t="s">
        <v>30</v>
      </c>
      <c r="J305">
        <v>37</v>
      </c>
      <c r="K305" t="s">
        <v>42</v>
      </c>
      <c r="L305" t="s">
        <v>81</v>
      </c>
      <c r="M305" s="1">
        <v>45596</v>
      </c>
      <c r="N305" t="s">
        <v>44</v>
      </c>
      <c r="O305" t="s">
        <v>273</v>
      </c>
      <c r="P305" t="s">
        <v>68</v>
      </c>
      <c r="Q305" t="s">
        <v>111</v>
      </c>
      <c r="R305">
        <v>1137.26</v>
      </c>
      <c r="S305">
        <v>1649.58</v>
      </c>
      <c r="T305">
        <v>243</v>
      </c>
      <c r="U305">
        <v>9766.2199999999993</v>
      </c>
      <c r="V305">
        <v>165.19</v>
      </c>
      <c r="W305">
        <v>9601.0300000000007</v>
      </c>
      <c r="X305">
        <v>1823.13</v>
      </c>
      <c r="Y305" t="s">
        <v>56</v>
      </c>
      <c r="Z305">
        <v>1649.58</v>
      </c>
      <c r="AA305">
        <v>512.31999999999994</v>
      </c>
    </row>
    <row r="306" spans="1:27" x14ac:dyDescent="0.3">
      <c r="A306" t="s">
        <v>819</v>
      </c>
      <c r="B306" s="1">
        <v>45258</v>
      </c>
      <c r="C306" t="s">
        <v>708</v>
      </c>
      <c r="D306" t="s">
        <v>527</v>
      </c>
      <c r="E306">
        <v>5</v>
      </c>
      <c r="F306" t="s">
        <v>78</v>
      </c>
      <c r="G306">
        <v>14</v>
      </c>
      <c r="H306" t="s">
        <v>709</v>
      </c>
      <c r="I306" t="s">
        <v>80</v>
      </c>
      <c r="J306">
        <v>45</v>
      </c>
      <c r="K306" t="s">
        <v>155</v>
      </c>
      <c r="L306" t="s">
        <v>53</v>
      </c>
      <c r="M306" s="1">
        <v>45424</v>
      </c>
      <c r="N306" t="s">
        <v>54</v>
      </c>
      <c r="O306" t="s">
        <v>528</v>
      </c>
      <c r="P306" t="s">
        <v>94</v>
      </c>
      <c r="Q306" t="s">
        <v>46</v>
      </c>
      <c r="R306">
        <v>2643.84</v>
      </c>
      <c r="S306">
        <v>3790.58</v>
      </c>
      <c r="T306">
        <v>63</v>
      </c>
      <c r="U306">
        <v>8851.43</v>
      </c>
      <c r="V306">
        <v>1940.08</v>
      </c>
      <c r="W306">
        <v>6911.35</v>
      </c>
      <c r="X306">
        <v>1770.28</v>
      </c>
      <c r="Y306" t="s">
        <v>56</v>
      </c>
      <c r="Z306">
        <v>18952.900000000001</v>
      </c>
      <c r="AA306">
        <v>5733.6999999999989</v>
      </c>
    </row>
    <row r="307" spans="1:27" x14ac:dyDescent="0.3">
      <c r="A307" t="s">
        <v>820</v>
      </c>
      <c r="B307" s="1">
        <v>45215</v>
      </c>
      <c r="C307" t="s">
        <v>821</v>
      </c>
      <c r="D307" t="s">
        <v>349</v>
      </c>
      <c r="E307">
        <v>6</v>
      </c>
      <c r="F307" t="s">
        <v>28</v>
      </c>
      <c r="G307">
        <v>5</v>
      </c>
      <c r="H307" t="s">
        <v>822</v>
      </c>
      <c r="I307" t="s">
        <v>30</v>
      </c>
      <c r="J307">
        <v>23</v>
      </c>
      <c r="K307" t="s">
        <v>53</v>
      </c>
      <c r="L307" t="s">
        <v>66</v>
      </c>
      <c r="M307" s="1">
        <v>44576</v>
      </c>
      <c r="N307" t="s">
        <v>54</v>
      </c>
      <c r="O307" t="s">
        <v>350</v>
      </c>
      <c r="P307" t="s">
        <v>35</v>
      </c>
      <c r="Q307" t="s">
        <v>120</v>
      </c>
      <c r="R307">
        <v>2100.67</v>
      </c>
      <c r="S307">
        <v>3046.71</v>
      </c>
      <c r="T307">
        <v>206</v>
      </c>
      <c r="U307">
        <v>19196.63</v>
      </c>
      <c r="V307">
        <v>212.02</v>
      </c>
      <c r="W307">
        <v>18984.61</v>
      </c>
      <c r="X307">
        <v>257.77</v>
      </c>
      <c r="Y307" t="s">
        <v>83</v>
      </c>
      <c r="Z307">
        <v>18280.260000000002</v>
      </c>
      <c r="AA307">
        <v>5676.24</v>
      </c>
    </row>
    <row r="308" spans="1:27" x14ac:dyDescent="0.3">
      <c r="A308" t="s">
        <v>823</v>
      </c>
      <c r="B308" s="1">
        <v>45026</v>
      </c>
      <c r="C308" t="s">
        <v>824</v>
      </c>
      <c r="D308" t="s">
        <v>134</v>
      </c>
      <c r="E308">
        <v>2</v>
      </c>
      <c r="F308" t="s">
        <v>28</v>
      </c>
      <c r="G308">
        <v>6</v>
      </c>
      <c r="H308" t="s">
        <v>825</v>
      </c>
      <c r="I308" t="s">
        <v>30</v>
      </c>
      <c r="J308">
        <v>34</v>
      </c>
      <c r="K308" t="s">
        <v>155</v>
      </c>
      <c r="L308" t="s">
        <v>53</v>
      </c>
      <c r="M308" s="1">
        <v>45361</v>
      </c>
      <c r="N308" t="s">
        <v>54</v>
      </c>
      <c r="O308" t="s">
        <v>136</v>
      </c>
      <c r="P308" t="s">
        <v>68</v>
      </c>
      <c r="Q308" t="s">
        <v>46</v>
      </c>
      <c r="R308">
        <v>3023.88</v>
      </c>
      <c r="S308">
        <v>3903.42</v>
      </c>
      <c r="T308">
        <v>217</v>
      </c>
      <c r="U308">
        <v>14643.25</v>
      </c>
      <c r="V308">
        <v>1289.19</v>
      </c>
      <c r="W308">
        <v>13354.06</v>
      </c>
      <c r="X308">
        <v>357.52</v>
      </c>
      <c r="Y308" t="s">
        <v>56</v>
      </c>
      <c r="Z308">
        <v>7806.84</v>
      </c>
      <c r="AA308">
        <v>1759.08</v>
      </c>
    </row>
    <row r="309" spans="1:27" x14ac:dyDescent="0.3">
      <c r="A309" t="s">
        <v>826</v>
      </c>
      <c r="B309" s="1">
        <v>45285</v>
      </c>
      <c r="C309" t="s">
        <v>444</v>
      </c>
      <c r="D309" t="s">
        <v>50</v>
      </c>
      <c r="E309">
        <v>5</v>
      </c>
      <c r="F309" t="s">
        <v>51</v>
      </c>
      <c r="G309">
        <v>19</v>
      </c>
      <c r="H309" t="s">
        <v>445</v>
      </c>
      <c r="I309" t="s">
        <v>80</v>
      </c>
      <c r="J309">
        <v>37</v>
      </c>
      <c r="K309" t="s">
        <v>42</v>
      </c>
      <c r="L309" t="s">
        <v>66</v>
      </c>
      <c r="M309" s="1">
        <v>44919</v>
      </c>
      <c r="N309" t="s">
        <v>54</v>
      </c>
      <c r="O309" t="s">
        <v>55</v>
      </c>
      <c r="P309" t="s">
        <v>35</v>
      </c>
      <c r="Q309" t="s">
        <v>46</v>
      </c>
      <c r="R309">
        <v>3612.18</v>
      </c>
      <c r="S309">
        <v>3996.91</v>
      </c>
      <c r="T309">
        <v>92</v>
      </c>
      <c r="U309">
        <v>4409.71</v>
      </c>
      <c r="V309">
        <v>959.41</v>
      </c>
      <c r="W309">
        <v>3450.3</v>
      </c>
      <c r="X309">
        <v>1796.92</v>
      </c>
      <c r="Y309" t="s">
        <v>47</v>
      </c>
      <c r="Z309">
        <v>19984.55</v>
      </c>
      <c r="AA309">
        <v>1923.65</v>
      </c>
    </row>
    <row r="310" spans="1:27" x14ac:dyDescent="0.3">
      <c r="A310" t="s">
        <v>827</v>
      </c>
      <c r="B310" s="1">
        <v>45230</v>
      </c>
      <c r="C310" t="s">
        <v>636</v>
      </c>
      <c r="D310" t="s">
        <v>399</v>
      </c>
      <c r="E310">
        <v>4</v>
      </c>
      <c r="F310" t="s">
        <v>90</v>
      </c>
      <c r="G310">
        <v>16</v>
      </c>
      <c r="H310" t="s">
        <v>637</v>
      </c>
      <c r="I310" t="s">
        <v>30</v>
      </c>
      <c r="J310">
        <v>46</v>
      </c>
      <c r="K310" t="s">
        <v>155</v>
      </c>
      <c r="L310" t="s">
        <v>53</v>
      </c>
      <c r="M310" s="1">
        <v>44749</v>
      </c>
      <c r="N310" t="s">
        <v>44</v>
      </c>
      <c r="O310" t="s">
        <v>400</v>
      </c>
      <c r="P310" t="s">
        <v>94</v>
      </c>
      <c r="Q310" t="s">
        <v>46</v>
      </c>
      <c r="R310">
        <v>828.79</v>
      </c>
      <c r="S310">
        <v>1227.1300000000001</v>
      </c>
      <c r="T310">
        <v>228</v>
      </c>
      <c r="U310">
        <v>1059.8599999999999</v>
      </c>
      <c r="V310">
        <v>180.26</v>
      </c>
      <c r="W310">
        <v>879.6</v>
      </c>
      <c r="X310">
        <v>3277.89</v>
      </c>
      <c r="Y310" t="s">
        <v>47</v>
      </c>
      <c r="Z310">
        <v>4908.5200000000004</v>
      </c>
      <c r="AA310">
        <v>1593.3600000000006</v>
      </c>
    </row>
    <row r="311" spans="1:27" x14ac:dyDescent="0.3">
      <c r="A311" t="s">
        <v>828</v>
      </c>
      <c r="B311" s="1">
        <v>45093</v>
      </c>
      <c r="C311" t="s">
        <v>829</v>
      </c>
      <c r="D311" t="s">
        <v>89</v>
      </c>
      <c r="E311">
        <v>3</v>
      </c>
      <c r="F311" t="s">
        <v>51</v>
      </c>
      <c r="G311">
        <v>23</v>
      </c>
      <c r="H311" t="s">
        <v>830</v>
      </c>
      <c r="I311" t="s">
        <v>80</v>
      </c>
      <c r="J311">
        <v>45</v>
      </c>
      <c r="K311" t="s">
        <v>65</v>
      </c>
      <c r="L311" t="s">
        <v>53</v>
      </c>
      <c r="M311" s="1">
        <v>45234</v>
      </c>
      <c r="N311" t="s">
        <v>44</v>
      </c>
      <c r="O311" t="s">
        <v>93</v>
      </c>
      <c r="P311" t="s">
        <v>94</v>
      </c>
      <c r="Q311" t="s">
        <v>46</v>
      </c>
      <c r="R311">
        <v>1290.44</v>
      </c>
      <c r="S311">
        <v>1756.94</v>
      </c>
      <c r="T311">
        <v>226</v>
      </c>
      <c r="U311">
        <v>10345.219999999999</v>
      </c>
      <c r="V311">
        <v>2520.59</v>
      </c>
      <c r="W311">
        <v>7824.63</v>
      </c>
      <c r="X311">
        <v>374.74</v>
      </c>
      <c r="Y311" t="s">
        <v>83</v>
      </c>
      <c r="Z311">
        <v>5270.82</v>
      </c>
      <c r="AA311">
        <v>1399.5</v>
      </c>
    </row>
    <row r="312" spans="1:27" x14ac:dyDescent="0.3">
      <c r="A312" t="s">
        <v>831</v>
      </c>
      <c r="B312" s="1">
        <v>45238</v>
      </c>
      <c r="C312" t="s">
        <v>539</v>
      </c>
      <c r="D312" t="s">
        <v>230</v>
      </c>
      <c r="E312">
        <v>4</v>
      </c>
      <c r="F312" t="s">
        <v>51</v>
      </c>
      <c r="G312">
        <v>25</v>
      </c>
      <c r="H312" t="s">
        <v>540</v>
      </c>
      <c r="I312" t="s">
        <v>80</v>
      </c>
      <c r="J312">
        <v>46</v>
      </c>
      <c r="K312" t="s">
        <v>92</v>
      </c>
      <c r="L312" t="s">
        <v>43</v>
      </c>
      <c r="M312" s="1">
        <v>45081</v>
      </c>
      <c r="N312" t="s">
        <v>54</v>
      </c>
      <c r="O312" t="s">
        <v>232</v>
      </c>
      <c r="P312" t="s">
        <v>110</v>
      </c>
      <c r="Q312" t="s">
        <v>46</v>
      </c>
      <c r="R312">
        <v>4570.75</v>
      </c>
      <c r="S312">
        <v>5891.26</v>
      </c>
      <c r="T312">
        <v>285</v>
      </c>
      <c r="U312">
        <v>4380.0600000000004</v>
      </c>
      <c r="V312">
        <v>1055.8499999999999</v>
      </c>
      <c r="W312">
        <v>3324.21</v>
      </c>
      <c r="X312">
        <v>2293.88</v>
      </c>
      <c r="Y312" t="s">
        <v>37</v>
      </c>
      <c r="Z312">
        <v>23565.040000000001</v>
      </c>
      <c r="AA312">
        <v>5282.0400000000009</v>
      </c>
    </row>
    <row r="313" spans="1:27" x14ac:dyDescent="0.3">
      <c r="A313" t="s">
        <v>832</v>
      </c>
      <c r="B313" s="1">
        <v>44971</v>
      </c>
      <c r="C313" t="s">
        <v>97</v>
      </c>
      <c r="D313" t="s">
        <v>223</v>
      </c>
      <c r="E313">
        <v>4</v>
      </c>
      <c r="F313" t="s">
        <v>51</v>
      </c>
      <c r="G313">
        <v>22</v>
      </c>
      <c r="H313" t="s">
        <v>99</v>
      </c>
      <c r="I313" t="s">
        <v>80</v>
      </c>
      <c r="J313">
        <v>27</v>
      </c>
      <c r="K313" t="s">
        <v>31</v>
      </c>
      <c r="L313" t="s">
        <v>32</v>
      </c>
      <c r="M313" s="1">
        <v>44637</v>
      </c>
      <c r="N313" t="s">
        <v>33</v>
      </c>
      <c r="O313" t="s">
        <v>224</v>
      </c>
      <c r="P313" t="s">
        <v>35</v>
      </c>
      <c r="Q313" t="s">
        <v>111</v>
      </c>
      <c r="R313">
        <v>3470.49</v>
      </c>
      <c r="S313">
        <v>5407.89</v>
      </c>
      <c r="T313">
        <v>141</v>
      </c>
      <c r="U313">
        <v>11167.89</v>
      </c>
      <c r="V313">
        <v>120.86</v>
      </c>
      <c r="W313">
        <v>11047.03</v>
      </c>
      <c r="X313">
        <v>3121.19</v>
      </c>
      <c r="Y313" t="s">
        <v>83</v>
      </c>
      <c r="Z313">
        <v>21631.56</v>
      </c>
      <c r="AA313">
        <v>7749.6000000000022</v>
      </c>
    </row>
    <row r="314" spans="1:27" x14ac:dyDescent="0.3">
      <c r="A314" t="s">
        <v>833</v>
      </c>
      <c r="B314" s="1">
        <v>45076</v>
      </c>
      <c r="C314" t="s">
        <v>834</v>
      </c>
      <c r="D314" t="s">
        <v>50</v>
      </c>
      <c r="E314">
        <v>3</v>
      </c>
      <c r="F314" t="s">
        <v>78</v>
      </c>
      <c r="G314">
        <v>2</v>
      </c>
      <c r="H314" t="s">
        <v>835</v>
      </c>
      <c r="I314" t="s">
        <v>80</v>
      </c>
      <c r="J314">
        <v>45</v>
      </c>
      <c r="K314" t="s">
        <v>42</v>
      </c>
      <c r="L314" t="s">
        <v>32</v>
      </c>
      <c r="M314" s="1">
        <v>44766</v>
      </c>
      <c r="N314" t="s">
        <v>44</v>
      </c>
      <c r="O314" t="s">
        <v>55</v>
      </c>
      <c r="P314" t="s">
        <v>35</v>
      </c>
      <c r="Q314" t="s">
        <v>46</v>
      </c>
      <c r="R314">
        <v>3612.18</v>
      </c>
      <c r="S314">
        <v>3996.91</v>
      </c>
      <c r="T314">
        <v>92</v>
      </c>
      <c r="U314">
        <v>7618.61</v>
      </c>
      <c r="V314">
        <v>1022.62</v>
      </c>
      <c r="W314">
        <v>6595.99</v>
      </c>
      <c r="X314">
        <v>3021.33</v>
      </c>
      <c r="Y314" t="s">
        <v>37</v>
      </c>
      <c r="Z314">
        <v>11990.73</v>
      </c>
      <c r="AA314">
        <v>1154.19</v>
      </c>
    </row>
    <row r="315" spans="1:27" x14ac:dyDescent="0.3">
      <c r="A315" t="s">
        <v>836</v>
      </c>
      <c r="B315" s="1">
        <v>45098</v>
      </c>
      <c r="C315" t="s">
        <v>617</v>
      </c>
      <c r="D315" t="s">
        <v>448</v>
      </c>
      <c r="E315">
        <v>6</v>
      </c>
      <c r="F315" t="s">
        <v>51</v>
      </c>
      <c r="G315">
        <v>18</v>
      </c>
      <c r="H315" t="s">
        <v>618</v>
      </c>
      <c r="I315" t="s">
        <v>30</v>
      </c>
      <c r="J315">
        <v>56</v>
      </c>
      <c r="K315" t="s">
        <v>31</v>
      </c>
      <c r="L315" t="s">
        <v>81</v>
      </c>
      <c r="M315" s="1">
        <v>44749</v>
      </c>
      <c r="N315" t="s">
        <v>44</v>
      </c>
      <c r="O315" t="s">
        <v>449</v>
      </c>
      <c r="P315" t="s">
        <v>110</v>
      </c>
      <c r="Q315" t="s">
        <v>120</v>
      </c>
      <c r="R315">
        <v>4836.3999999999996</v>
      </c>
      <c r="S315">
        <v>7004.05</v>
      </c>
      <c r="T315">
        <v>98</v>
      </c>
      <c r="U315">
        <v>12876.97</v>
      </c>
      <c r="V315">
        <v>1924.74</v>
      </c>
      <c r="W315">
        <v>10952.23</v>
      </c>
      <c r="X315">
        <v>4352.68</v>
      </c>
      <c r="Y315" t="s">
        <v>47</v>
      </c>
      <c r="Z315">
        <v>42024.3</v>
      </c>
      <c r="AA315">
        <v>13005.900000000003</v>
      </c>
    </row>
    <row r="316" spans="1:27" x14ac:dyDescent="0.3">
      <c r="A316" t="s">
        <v>837</v>
      </c>
      <c r="B316" s="1">
        <v>44938</v>
      </c>
      <c r="C316" t="s">
        <v>718</v>
      </c>
      <c r="D316" t="s">
        <v>302</v>
      </c>
      <c r="E316">
        <v>2</v>
      </c>
      <c r="F316" t="s">
        <v>28</v>
      </c>
      <c r="G316">
        <v>0</v>
      </c>
      <c r="H316" t="s">
        <v>719</v>
      </c>
      <c r="I316" t="s">
        <v>30</v>
      </c>
      <c r="J316">
        <v>47</v>
      </c>
      <c r="K316" t="s">
        <v>155</v>
      </c>
      <c r="L316" t="s">
        <v>108</v>
      </c>
      <c r="M316" s="1">
        <v>44932</v>
      </c>
      <c r="N316" t="s">
        <v>33</v>
      </c>
      <c r="O316" t="s">
        <v>304</v>
      </c>
      <c r="P316" t="s">
        <v>68</v>
      </c>
      <c r="Q316" t="s">
        <v>120</v>
      </c>
      <c r="R316">
        <v>1858.72</v>
      </c>
      <c r="S316">
        <v>2175.88</v>
      </c>
      <c r="T316">
        <v>272</v>
      </c>
      <c r="U316">
        <v>13002.92</v>
      </c>
      <c r="V316">
        <v>111.6</v>
      </c>
      <c r="W316">
        <v>12891.32</v>
      </c>
      <c r="X316">
        <v>1740.42</v>
      </c>
      <c r="Y316" t="s">
        <v>47</v>
      </c>
      <c r="Z316">
        <v>4351.76</v>
      </c>
      <c r="AA316">
        <v>634.32000000000016</v>
      </c>
    </row>
    <row r="317" spans="1:27" x14ac:dyDescent="0.3">
      <c r="A317" t="s">
        <v>838</v>
      </c>
      <c r="B317" s="1">
        <v>45218</v>
      </c>
      <c r="C317" t="s">
        <v>196</v>
      </c>
      <c r="D317" t="s">
        <v>408</v>
      </c>
      <c r="E317">
        <v>6</v>
      </c>
      <c r="F317" t="s">
        <v>90</v>
      </c>
      <c r="G317">
        <v>18</v>
      </c>
      <c r="H317" t="s">
        <v>198</v>
      </c>
      <c r="I317" t="s">
        <v>30</v>
      </c>
      <c r="J317">
        <v>37</v>
      </c>
      <c r="K317" t="s">
        <v>65</v>
      </c>
      <c r="L317" t="s">
        <v>53</v>
      </c>
      <c r="M317" s="1">
        <v>45436</v>
      </c>
      <c r="N317" t="s">
        <v>33</v>
      </c>
      <c r="O317" t="s">
        <v>410</v>
      </c>
      <c r="P317" t="s">
        <v>68</v>
      </c>
      <c r="Q317" t="s">
        <v>46</v>
      </c>
      <c r="R317">
        <v>2025.88</v>
      </c>
      <c r="S317">
        <v>2513.29</v>
      </c>
      <c r="T317">
        <v>67</v>
      </c>
      <c r="U317">
        <v>3862.23</v>
      </c>
      <c r="V317">
        <v>182.85</v>
      </c>
      <c r="W317">
        <v>3679.38</v>
      </c>
      <c r="X317">
        <v>1608.96</v>
      </c>
      <c r="Y317" t="s">
        <v>47</v>
      </c>
      <c r="Z317">
        <v>15079.74</v>
      </c>
      <c r="AA317">
        <v>2924.4599999999991</v>
      </c>
    </row>
    <row r="318" spans="1:27" x14ac:dyDescent="0.3">
      <c r="A318" t="s">
        <v>839</v>
      </c>
      <c r="B318" s="1">
        <v>44968</v>
      </c>
      <c r="C318" t="s">
        <v>138</v>
      </c>
      <c r="D318" t="s">
        <v>510</v>
      </c>
      <c r="E318">
        <v>4</v>
      </c>
      <c r="F318" t="s">
        <v>90</v>
      </c>
      <c r="G318">
        <v>0</v>
      </c>
      <c r="H318" t="s">
        <v>139</v>
      </c>
      <c r="I318" t="s">
        <v>80</v>
      </c>
      <c r="J318">
        <v>25</v>
      </c>
      <c r="K318" t="s">
        <v>53</v>
      </c>
      <c r="L318" t="s">
        <v>81</v>
      </c>
      <c r="M318" s="1">
        <v>44756</v>
      </c>
      <c r="N318" t="s">
        <v>54</v>
      </c>
      <c r="O318" t="s">
        <v>512</v>
      </c>
      <c r="P318" t="s">
        <v>110</v>
      </c>
      <c r="Q318" t="s">
        <v>36</v>
      </c>
      <c r="R318">
        <v>952.01</v>
      </c>
      <c r="S318">
        <v>1107.5</v>
      </c>
      <c r="T318">
        <v>162</v>
      </c>
      <c r="U318">
        <v>15653.77</v>
      </c>
      <c r="V318">
        <v>124.69</v>
      </c>
      <c r="W318">
        <v>15529.08</v>
      </c>
      <c r="X318">
        <v>4141.01</v>
      </c>
      <c r="Y318" t="s">
        <v>83</v>
      </c>
      <c r="Z318">
        <v>4430</v>
      </c>
      <c r="AA318">
        <v>621.96</v>
      </c>
    </row>
    <row r="319" spans="1:27" x14ac:dyDescent="0.3">
      <c r="A319" t="s">
        <v>840</v>
      </c>
      <c r="B319" s="1">
        <v>44968</v>
      </c>
      <c r="C319" t="s">
        <v>736</v>
      </c>
      <c r="D319" t="s">
        <v>471</v>
      </c>
      <c r="E319">
        <v>4</v>
      </c>
      <c r="F319" t="s">
        <v>28</v>
      </c>
      <c r="G319">
        <v>6</v>
      </c>
      <c r="H319" t="s">
        <v>737</v>
      </c>
      <c r="I319" t="s">
        <v>30</v>
      </c>
      <c r="J319">
        <v>37</v>
      </c>
      <c r="K319" t="s">
        <v>65</v>
      </c>
      <c r="L319" t="s">
        <v>43</v>
      </c>
      <c r="M319" s="1">
        <v>45600</v>
      </c>
      <c r="N319" t="s">
        <v>54</v>
      </c>
      <c r="O319" t="s">
        <v>473</v>
      </c>
      <c r="P319" t="s">
        <v>68</v>
      </c>
      <c r="Q319" t="s">
        <v>120</v>
      </c>
      <c r="R319">
        <v>1492.62</v>
      </c>
      <c r="S319">
        <v>2285.1999999999998</v>
      </c>
      <c r="T319">
        <v>106</v>
      </c>
      <c r="U319">
        <v>4146.16</v>
      </c>
      <c r="V319">
        <v>997.15</v>
      </c>
      <c r="W319">
        <v>3149.01</v>
      </c>
      <c r="X319">
        <v>945.79</v>
      </c>
      <c r="Y319" t="s">
        <v>37</v>
      </c>
      <c r="Z319">
        <v>9140.7999999999993</v>
      </c>
      <c r="AA319">
        <v>3170.3199999999997</v>
      </c>
    </row>
    <row r="320" spans="1:27" x14ac:dyDescent="0.3">
      <c r="A320" t="s">
        <v>841</v>
      </c>
      <c r="B320" s="1">
        <v>45009</v>
      </c>
      <c r="C320" t="s">
        <v>842</v>
      </c>
      <c r="D320" t="s">
        <v>315</v>
      </c>
      <c r="E320">
        <v>2</v>
      </c>
      <c r="F320" t="s">
        <v>51</v>
      </c>
      <c r="G320">
        <v>4</v>
      </c>
      <c r="H320" t="s">
        <v>843</v>
      </c>
      <c r="I320" t="s">
        <v>30</v>
      </c>
      <c r="J320">
        <v>60</v>
      </c>
      <c r="K320" t="s">
        <v>53</v>
      </c>
      <c r="L320" t="s">
        <v>81</v>
      </c>
      <c r="M320" s="1">
        <v>44753</v>
      </c>
      <c r="N320" t="s">
        <v>33</v>
      </c>
      <c r="O320" t="s">
        <v>316</v>
      </c>
      <c r="P320" t="s">
        <v>110</v>
      </c>
      <c r="Q320" t="s">
        <v>120</v>
      </c>
      <c r="R320">
        <v>2359.8000000000002</v>
      </c>
      <c r="S320">
        <v>2910.71</v>
      </c>
      <c r="T320">
        <v>211</v>
      </c>
      <c r="U320">
        <v>10672.13</v>
      </c>
      <c r="V320">
        <v>139.54</v>
      </c>
      <c r="W320">
        <v>10532.59</v>
      </c>
      <c r="X320">
        <v>4800.46</v>
      </c>
      <c r="Y320" t="s">
        <v>83</v>
      </c>
      <c r="Z320">
        <v>5821.42</v>
      </c>
      <c r="AA320">
        <v>1101.8199999999997</v>
      </c>
    </row>
    <row r="321" spans="1:27" x14ac:dyDescent="0.3">
      <c r="A321" t="s">
        <v>844</v>
      </c>
      <c r="B321" s="1">
        <v>44971</v>
      </c>
      <c r="C321" t="s">
        <v>582</v>
      </c>
      <c r="D321" t="s">
        <v>89</v>
      </c>
      <c r="E321">
        <v>1</v>
      </c>
      <c r="F321" t="s">
        <v>90</v>
      </c>
      <c r="G321">
        <v>11</v>
      </c>
      <c r="H321" t="s">
        <v>583</v>
      </c>
      <c r="I321" t="s">
        <v>80</v>
      </c>
      <c r="J321">
        <v>39</v>
      </c>
      <c r="K321" t="s">
        <v>60</v>
      </c>
      <c r="L321" t="s">
        <v>43</v>
      </c>
      <c r="M321" s="1">
        <v>45402</v>
      </c>
      <c r="N321" t="s">
        <v>44</v>
      </c>
      <c r="O321" t="s">
        <v>93</v>
      </c>
      <c r="P321" t="s">
        <v>94</v>
      </c>
      <c r="Q321" t="s">
        <v>46</v>
      </c>
      <c r="R321">
        <v>1290.44</v>
      </c>
      <c r="S321">
        <v>1756.94</v>
      </c>
      <c r="T321">
        <v>226</v>
      </c>
      <c r="U321">
        <v>17624.150000000001</v>
      </c>
      <c r="V321">
        <v>1338</v>
      </c>
      <c r="W321">
        <v>16286.15</v>
      </c>
      <c r="X321">
        <v>4073.62</v>
      </c>
      <c r="Y321" t="s">
        <v>37</v>
      </c>
      <c r="Z321">
        <v>1756.94</v>
      </c>
      <c r="AA321">
        <v>466.5</v>
      </c>
    </row>
    <row r="322" spans="1:27" x14ac:dyDescent="0.3">
      <c r="A322" t="s">
        <v>845</v>
      </c>
      <c r="B322" s="1">
        <v>45083</v>
      </c>
      <c r="C322" t="s">
        <v>749</v>
      </c>
      <c r="D322" t="s">
        <v>102</v>
      </c>
      <c r="E322">
        <v>5</v>
      </c>
      <c r="F322" t="s">
        <v>51</v>
      </c>
      <c r="G322">
        <v>3</v>
      </c>
      <c r="H322" t="s">
        <v>750</v>
      </c>
      <c r="I322" t="s">
        <v>30</v>
      </c>
      <c r="J322">
        <v>37</v>
      </c>
      <c r="K322" t="s">
        <v>155</v>
      </c>
      <c r="L322" t="s">
        <v>32</v>
      </c>
      <c r="M322" s="1">
        <v>45308</v>
      </c>
      <c r="N322" t="s">
        <v>33</v>
      </c>
      <c r="O322" t="s">
        <v>103</v>
      </c>
      <c r="P322" t="s">
        <v>94</v>
      </c>
      <c r="Q322" t="s">
        <v>46</v>
      </c>
      <c r="R322">
        <v>4398.43</v>
      </c>
      <c r="S322">
        <v>6683.28</v>
      </c>
      <c r="T322">
        <v>152</v>
      </c>
      <c r="U322">
        <v>11121.23</v>
      </c>
      <c r="V322">
        <v>343.36</v>
      </c>
      <c r="W322">
        <v>10777.87</v>
      </c>
      <c r="X322">
        <v>4268.0200000000004</v>
      </c>
      <c r="Y322" t="s">
        <v>37</v>
      </c>
      <c r="Z322">
        <v>33416.400000000001</v>
      </c>
      <c r="AA322">
        <v>11424.249999999996</v>
      </c>
    </row>
    <row r="323" spans="1:27" x14ac:dyDescent="0.3">
      <c r="A323" t="s">
        <v>846</v>
      </c>
      <c r="B323" s="1">
        <v>45077</v>
      </c>
      <c r="C323" t="s">
        <v>438</v>
      </c>
      <c r="D323" t="s">
        <v>287</v>
      </c>
      <c r="E323">
        <v>2</v>
      </c>
      <c r="F323" t="s">
        <v>51</v>
      </c>
      <c r="G323">
        <v>5</v>
      </c>
      <c r="H323" t="s">
        <v>439</v>
      </c>
      <c r="I323" t="s">
        <v>30</v>
      </c>
      <c r="J323">
        <v>57</v>
      </c>
      <c r="K323" t="s">
        <v>53</v>
      </c>
      <c r="L323" t="s">
        <v>43</v>
      </c>
      <c r="M323" s="1">
        <v>45545</v>
      </c>
      <c r="N323" t="s">
        <v>33</v>
      </c>
      <c r="O323" t="s">
        <v>288</v>
      </c>
      <c r="P323" t="s">
        <v>68</v>
      </c>
      <c r="Q323" t="s">
        <v>46</v>
      </c>
      <c r="R323">
        <v>2345.7800000000002</v>
      </c>
      <c r="S323">
        <v>2891.96</v>
      </c>
      <c r="T323">
        <v>122</v>
      </c>
      <c r="U323">
        <v>1922.98</v>
      </c>
      <c r="V323">
        <v>271.98</v>
      </c>
      <c r="W323">
        <v>1651</v>
      </c>
      <c r="X323">
        <v>3563.74</v>
      </c>
      <c r="Y323" t="s">
        <v>83</v>
      </c>
      <c r="Z323">
        <v>5783.92</v>
      </c>
      <c r="AA323">
        <v>1092.3599999999997</v>
      </c>
    </row>
    <row r="324" spans="1:27" x14ac:dyDescent="0.3">
      <c r="A324" t="s">
        <v>847</v>
      </c>
      <c r="B324" s="1">
        <v>45152</v>
      </c>
      <c r="C324" t="s">
        <v>346</v>
      </c>
      <c r="D324" t="s">
        <v>125</v>
      </c>
      <c r="E324">
        <v>6</v>
      </c>
      <c r="F324" t="s">
        <v>90</v>
      </c>
      <c r="G324">
        <v>22</v>
      </c>
      <c r="H324" t="s">
        <v>347</v>
      </c>
      <c r="I324" t="s">
        <v>30</v>
      </c>
      <c r="J324">
        <v>23</v>
      </c>
      <c r="K324" t="s">
        <v>92</v>
      </c>
      <c r="L324" t="s">
        <v>81</v>
      </c>
      <c r="M324" s="1">
        <v>45595</v>
      </c>
      <c r="N324" t="s">
        <v>33</v>
      </c>
      <c r="O324" t="s">
        <v>126</v>
      </c>
      <c r="P324" t="s">
        <v>68</v>
      </c>
      <c r="Q324" t="s">
        <v>120</v>
      </c>
      <c r="R324">
        <v>4301.32</v>
      </c>
      <c r="S324">
        <v>6870.07</v>
      </c>
      <c r="T324">
        <v>243</v>
      </c>
      <c r="U324">
        <v>11160.4</v>
      </c>
      <c r="V324">
        <v>912.36</v>
      </c>
      <c r="W324">
        <v>10248.040000000001</v>
      </c>
      <c r="X324">
        <v>640.36</v>
      </c>
      <c r="Y324" t="s">
        <v>56</v>
      </c>
      <c r="Z324">
        <v>41220.42</v>
      </c>
      <c r="AA324">
        <v>15412.5</v>
      </c>
    </row>
    <row r="325" spans="1:27" x14ac:dyDescent="0.3">
      <c r="A325" t="s">
        <v>848</v>
      </c>
      <c r="B325" s="1">
        <v>44987</v>
      </c>
      <c r="C325" t="s">
        <v>531</v>
      </c>
      <c r="D325" t="s">
        <v>527</v>
      </c>
      <c r="E325">
        <v>2</v>
      </c>
      <c r="F325" t="s">
        <v>28</v>
      </c>
      <c r="G325">
        <v>15</v>
      </c>
      <c r="H325" t="s">
        <v>532</v>
      </c>
      <c r="I325" t="s">
        <v>30</v>
      </c>
      <c r="J325">
        <v>37</v>
      </c>
      <c r="K325" t="s">
        <v>73</v>
      </c>
      <c r="L325" t="s">
        <v>32</v>
      </c>
      <c r="M325" s="1">
        <v>45419</v>
      </c>
      <c r="N325" t="s">
        <v>33</v>
      </c>
      <c r="O325" t="s">
        <v>528</v>
      </c>
      <c r="P325" t="s">
        <v>94</v>
      </c>
      <c r="Q325" t="s">
        <v>46</v>
      </c>
      <c r="R325">
        <v>2643.84</v>
      </c>
      <c r="S325">
        <v>3790.58</v>
      </c>
      <c r="T325">
        <v>63</v>
      </c>
      <c r="U325">
        <v>17985.63</v>
      </c>
      <c r="V325">
        <v>531.35</v>
      </c>
      <c r="W325">
        <v>17454.28</v>
      </c>
      <c r="X325">
        <v>3927.24</v>
      </c>
      <c r="Y325" t="s">
        <v>83</v>
      </c>
      <c r="Z325">
        <v>7581.16</v>
      </c>
      <c r="AA325">
        <v>2293.4799999999996</v>
      </c>
    </row>
    <row r="326" spans="1:27" x14ac:dyDescent="0.3">
      <c r="A326" t="s">
        <v>849</v>
      </c>
      <c r="B326" s="1">
        <v>45255</v>
      </c>
      <c r="C326" t="s">
        <v>850</v>
      </c>
      <c r="D326" t="s">
        <v>302</v>
      </c>
      <c r="E326">
        <v>2</v>
      </c>
      <c r="F326" t="s">
        <v>51</v>
      </c>
      <c r="G326">
        <v>25</v>
      </c>
      <c r="H326" t="s">
        <v>851</v>
      </c>
      <c r="I326" t="s">
        <v>30</v>
      </c>
      <c r="J326">
        <v>45</v>
      </c>
      <c r="K326" t="s">
        <v>42</v>
      </c>
      <c r="L326" t="s">
        <v>43</v>
      </c>
      <c r="M326" s="1">
        <v>45533</v>
      </c>
      <c r="N326" t="s">
        <v>33</v>
      </c>
      <c r="O326" t="s">
        <v>304</v>
      </c>
      <c r="P326" t="s">
        <v>68</v>
      </c>
      <c r="Q326" t="s">
        <v>120</v>
      </c>
      <c r="R326">
        <v>1858.72</v>
      </c>
      <c r="S326">
        <v>2175.88</v>
      </c>
      <c r="T326">
        <v>272</v>
      </c>
      <c r="U326">
        <v>8249.9599999999991</v>
      </c>
      <c r="V326">
        <v>95.35</v>
      </c>
      <c r="W326">
        <v>8154.61</v>
      </c>
      <c r="X326">
        <v>4619.91</v>
      </c>
      <c r="Y326" t="s">
        <v>47</v>
      </c>
      <c r="Z326">
        <v>4351.76</v>
      </c>
      <c r="AA326">
        <v>634.32000000000016</v>
      </c>
    </row>
    <row r="327" spans="1:27" x14ac:dyDescent="0.3">
      <c r="A327" t="s">
        <v>852</v>
      </c>
      <c r="B327" s="1">
        <v>44977</v>
      </c>
      <c r="C327" t="s">
        <v>624</v>
      </c>
      <c r="D327" t="s">
        <v>510</v>
      </c>
      <c r="E327">
        <v>1</v>
      </c>
      <c r="F327" t="s">
        <v>51</v>
      </c>
      <c r="G327">
        <v>0</v>
      </c>
      <c r="H327" t="s">
        <v>625</v>
      </c>
      <c r="I327" t="s">
        <v>30</v>
      </c>
      <c r="J327">
        <v>39</v>
      </c>
      <c r="K327" t="s">
        <v>92</v>
      </c>
      <c r="L327" t="s">
        <v>32</v>
      </c>
      <c r="M327" s="1">
        <v>45728</v>
      </c>
      <c r="N327" t="s">
        <v>44</v>
      </c>
      <c r="O327" t="s">
        <v>512</v>
      </c>
      <c r="P327" t="s">
        <v>110</v>
      </c>
      <c r="Q327" t="s">
        <v>36</v>
      </c>
      <c r="R327">
        <v>952.01</v>
      </c>
      <c r="S327">
        <v>1107.5</v>
      </c>
      <c r="T327">
        <v>162</v>
      </c>
      <c r="U327">
        <v>9696.58</v>
      </c>
      <c r="V327">
        <v>1664.82</v>
      </c>
      <c r="W327">
        <v>8031.76</v>
      </c>
      <c r="X327">
        <v>4695.03</v>
      </c>
      <c r="Y327" t="s">
        <v>83</v>
      </c>
      <c r="Z327">
        <v>1107.5</v>
      </c>
      <c r="AA327">
        <v>155.49</v>
      </c>
    </row>
    <row r="328" spans="1:27" x14ac:dyDescent="0.3">
      <c r="A328" t="s">
        <v>853</v>
      </c>
      <c r="B328" s="1">
        <v>45177</v>
      </c>
      <c r="C328" t="s">
        <v>663</v>
      </c>
      <c r="D328" t="s">
        <v>193</v>
      </c>
      <c r="E328">
        <v>6</v>
      </c>
      <c r="F328" t="s">
        <v>78</v>
      </c>
      <c r="G328">
        <v>18</v>
      </c>
      <c r="H328" t="s">
        <v>664</v>
      </c>
      <c r="I328" t="s">
        <v>30</v>
      </c>
      <c r="J328">
        <v>34</v>
      </c>
      <c r="K328" t="s">
        <v>31</v>
      </c>
      <c r="L328" t="s">
        <v>81</v>
      </c>
      <c r="M328" s="1">
        <v>44942</v>
      </c>
      <c r="N328" t="s">
        <v>54</v>
      </c>
      <c r="O328" t="s">
        <v>194</v>
      </c>
      <c r="P328" t="s">
        <v>94</v>
      </c>
      <c r="Q328" t="s">
        <v>120</v>
      </c>
      <c r="R328">
        <v>1267.6600000000001</v>
      </c>
      <c r="S328">
        <v>1481.07</v>
      </c>
      <c r="T328">
        <v>99</v>
      </c>
      <c r="U328">
        <v>659.37</v>
      </c>
      <c r="V328">
        <v>90.42</v>
      </c>
      <c r="W328">
        <v>568.95000000000005</v>
      </c>
      <c r="X328">
        <v>278.27999999999997</v>
      </c>
      <c r="Y328" t="s">
        <v>47</v>
      </c>
      <c r="Z328">
        <v>8886.42</v>
      </c>
      <c r="AA328">
        <v>1280.4599999999991</v>
      </c>
    </row>
    <row r="329" spans="1:27" x14ac:dyDescent="0.3">
      <c r="A329" t="s">
        <v>854</v>
      </c>
      <c r="B329" s="1">
        <v>44978</v>
      </c>
      <c r="C329" t="s">
        <v>824</v>
      </c>
      <c r="D329" t="s">
        <v>177</v>
      </c>
      <c r="E329">
        <v>6</v>
      </c>
      <c r="F329" t="s">
        <v>51</v>
      </c>
      <c r="G329">
        <v>12</v>
      </c>
      <c r="H329" t="s">
        <v>825</v>
      </c>
      <c r="I329" t="s">
        <v>30</v>
      </c>
      <c r="J329">
        <v>34</v>
      </c>
      <c r="K329" t="s">
        <v>155</v>
      </c>
      <c r="L329" t="s">
        <v>53</v>
      </c>
      <c r="M329" s="1">
        <v>45361</v>
      </c>
      <c r="N329" t="s">
        <v>54</v>
      </c>
      <c r="O329" t="s">
        <v>179</v>
      </c>
      <c r="P329" t="s">
        <v>35</v>
      </c>
      <c r="Q329" t="s">
        <v>46</v>
      </c>
      <c r="R329">
        <v>926.86</v>
      </c>
      <c r="S329">
        <v>1109.73</v>
      </c>
      <c r="T329">
        <v>287</v>
      </c>
      <c r="U329">
        <v>4435.8100000000004</v>
      </c>
      <c r="V329">
        <v>43.3</v>
      </c>
      <c r="W329">
        <v>4392.51</v>
      </c>
      <c r="X329">
        <v>2429.06</v>
      </c>
      <c r="Y329" t="s">
        <v>37</v>
      </c>
      <c r="Z329">
        <v>6658.38</v>
      </c>
      <c r="AA329">
        <v>1097.22</v>
      </c>
    </row>
    <row r="330" spans="1:27" x14ac:dyDescent="0.3">
      <c r="A330" t="s">
        <v>855</v>
      </c>
      <c r="B330" s="1">
        <v>45008</v>
      </c>
      <c r="C330" t="s">
        <v>856</v>
      </c>
      <c r="D330" t="s">
        <v>650</v>
      </c>
      <c r="E330">
        <v>1</v>
      </c>
      <c r="F330" t="s">
        <v>28</v>
      </c>
      <c r="G330">
        <v>9</v>
      </c>
      <c r="H330" t="s">
        <v>857</v>
      </c>
      <c r="I330" t="s">
        <v>30</v>
      </c>
      <c r="J330">
        <v>54</v>
      </c>
      <c r="K330" t="s">
        <v>73</v>
      </c>
      <c r="L330" t="s">
        <v>43</v>
      </c>
      <c r="M330" s="1">
        <v>45608</v>
      </c>
      <c r="N330" t="s">
        <v>44</v>
      </c>
      <c r="O330" t="s">
        <v>652</v>
      </c>
      <c r="P330" t="s">
        <v>110</v>
      </c>
      <c r="Q330" t="s">
        <v>46</v>
      </c>
      <c r="R330">
        <v>4581.92</v>
      </c>
      <c r="S330">
        <v>5789.36</v>
      </c>
      <c r="T330">
        <v>140</v>
      </c>
      <c r="U330">
        <v>5304.77</v>
      </c>
      <c r="V330">
        <v>1245.3900000000001</v>
      </c>
      <c r="W330">
        <v>4059.38</v>
      </c>
      <c r="X330">
        <v>3136.9</v>
      </c>
      <c r="Y330" t="s">
        <v>83</v>
      </c>
      <c r="Z330">
        <v>5789.36</v>
      </c>
      <c r="AA330">
        <v>1207.4399999999996</v>
      </c>
    </row>
    <row r="331" spans="1:27" x14ac:dyDescent="0.3">
      <c r="A331" t="s">
        <v>858</v>
      </c>
      <c r="B331" s="1">
        <v>45117</v>
      </c>
      <c r="C331" t="s">
        <v>649</v>
      </c>
      <c r="D331" t="s">
        <v>177</v>
      </c>
      <c r="E331">
        <v>2</v>
      </c>
      <c r="F331" t="s">
        <v>28</v>
      </c>
      <c r="G331">
        <v>0</v>
      </c>
      <c r="H331" t="s">
        <v>651</v>
      </c>
      <c r="I331" t="s">
        <v>80</v>
      </c>
      <c r="J331">
        <v>21</v>
      </c>
      <c r="K331" t="s">
        <v>92</v>
      </c>
      <c r="L331" t="s">
        <v>81</v>
      </c>
      <c r="M331" s="1">
        <v>45497</v>
      </c>
      <c r="N331" t="s">
        <v>33</v>
      </c>
      <c r="O331" t="s">
        <v>179</v>
      </c>
      <c r="P331" t="s">
        <v>35</v>
      </c>
      <c r="Q331" t="s">
        <v>46</v>
      </c>
      <c r="R331">
        <v>926.86</v>
      </c>
      <c r="S331">
        <v>1109.73</v>
      </c>
      <c r="T331">
        <v>287</v>
      </c>
      <c r="U331">
        <v>9708.01</v>
      </c>
      <c r="V331">
        <v>2120</v>
      </c>
      <c r="W331">
        <v>7588.01</v>
      </c>
      <c r="X331">
        <v>4273.95</v>
      </c>
      <c r="Y331" t="s">
        <v>37</v>
      </c>
      <c r="Z331">
        <v>2219.46</v>
      </c>
      <c r="AA331">
        <v>365.74</v>
      </c>
    </row>
    <row r="332" spans="1:27" x14ac:dyDescent="0.3">
      <c r="A332" t="s">
        <v>859</v>
      </c>
      <c r="B332" s="1">
        <v>44928</v>
      </c>
      <c r="C332" t="s">
        <v>624</v>
      </c>
      <c r="D332" t="s">
        <v>223</v>
      </c>
      <c r="E332">
        <v>3</v>
      </c>
      <c r="F332" t="s">
        <v>28</v>
      </c>
      <c r="G332">
        <v>9</v>
      </c>
      <c r="H332" t="s">
        <v>625</v>
      </c>
      <c r="I332" t="s">
        <v>30</v>
      </c>
      <c r="J332">
        <v>39</v>
      </c>
      <c r="K332" t="s">
        <v>92</v>
      </c>
      <c r="L332" t="s">
        <v>32</v>
      </c>
      <c r="M332" s="1">
        <v>45728</v>
      </c>
      <c r="N332" t="s">
        <v>44</v>
      </c>
      <c r="O332" t="s">
        <v>224</v>
      </c>
      <c r="P332" t="s">
        <v>35</v>
      </c>
      <c r="Q332" t="s">
        <v>111</v>
      </c>
      <c r="R332">
        <v>3470.49</v>
      </c>
      <c r="S332">
        <v>5407.89</v>
      </c>
      <c r="T332">
        <v>141</v>
      </c>
      <c r="U332">
        <v>5288.6</v>
      </c>
      <c r="V332">
        <v>153.63999999999999</v>
      </c>
      <c r="W332">
        <v>5134.96</v>
      </c>
      <c r="X332">
        <v>3027.14</v>
      </c>
      <c r="Y332" t="s">
        <v>37</v>
      </c>
      <c r="Z332">
        <v>16223.670000000002</v>
      </c>
      <c r="AA332">
        <v>5812.2000000000016</v>
      </c>
    </row>
    <row r="333" spans="1:27" x14ac:dyDescent="0.3">
      <c r="A333" t="s">
        <v>860</v>
      </c>
      <c r="B333" s="1">
        <v>44963</v>
      </c>
      <c r="C333" t="s">
        <v>718</v>
      </c>
      <c r="D333" t="s">
        <v>146</v>
      </c>
      <c r="E333">
        <v>4</v>
      </c>
      <c r="F333" t="s">
        <v>28</v>
      </c>
      <c r="G333">
        <v>16</v>
      </c>
      <c r="H333" t="s">
        <v>719</v>
      </c>
      <c r="I333" t="s">
        <v>30</v>
      </c>
      <c r="J333">
        <v>47</v>
      </c>
      <c r="K333" t="s">
        <v>155</v>
      </c>
      <c r="L333" t="s">
        <v>108</v>
      </c>
      <c r="M333" s="1">
        <v>44932</v>
      </c>
      <c r="N333" t="s">
        <v>33</v>
      </c>
      <c r="O333" t="s">
        <v>147</v>
      </c>
      <c r="P333" t="s">
        <v>94</v>
      </c>
      <c r="Q333" t="s">
        <v>111</v>
      </c>
      <c r="R333">
        <v>662.05</v>
      </c>
      <c r="S333">
        <v>1019.21</v>
      </c>
      <c r="T333">
        <v>49</v>
      </c>
      <c r="U333">
        <v>1527.42</v>
      </c>
      <c r="V333">
        <v>287.79000000000002</v>
      </c>
      <c r="W333">
        <v>1239.6300000000001</v>
      </c>
      <c r="X333">
        <v>3166.86</v>
      </c>
      <c r="Y333" t="s">
        <v>47</v>
      </c>
      <c r="Z333">
        <v>4076.84</v>
      </c>
      <c r="AA333">
        <v>1428.6400000000003</v>
      </c>
    </row>
    <row r="334" spans="1:27" x14ac:dyDescent="0.3">
      <c r="A334" t="s">
        <v>861</v>
      </c>
      <c r="B334" s="1">
        <v>45060</v>
      </c>
      <c r="C334" t="s">
        <v>149</v>
      </c>
      <c r="D334" t="s">
        <v>236</v>
      </c>
      <c r="E334">
        <v>6</v>
      </c>
      <c r="F334" t="s">
        <v>51</v>
      </c>
      <c r="G334">
        <v>7</v>
      </c>
      <c r="H334" t="s">
        <v>150</v>
      </c>
      <c r="I334" t="s">
        <v>30</v>
      </c>
      <c r="J334">
        <v>44</v>
      </c>
      <c r="K334" t="s">
        <v>73</v>
      </c>
      <c r="L334" t="s">
        <v>81</v>
      </c>
      <c r="M334" s="1">
        <v>44918</v>
      </c>
      <c r="N334" t="s">
        <v>33</v>
      </c>
      <c r="O334" t="s">
        <v>238</v>
      </c>
      <c r="P334" t="s">
        <v>68</v>
      </c>
      <c r="Q334" t="s">
        <v>120</v>
      </c>
      <c r="R334">
        <v>3957.37</v>
      </c>
      <c r="S334">
        <v>5045.3500000000004</v>
      </c>
      <c r="T334">
        <v>227</v>
      </c>
      <c r="U334">
        <v>14273.31</v>
      </c>
      <c r="V334">
        <v>2154.94</v>
      </c>
      <c r="W334">
        <v>12118.37</v>
      </c>
      <c r="X334">
        <v>3543.4</v>
      </c>
      <c r="Y334" t="s">
        <v>56</v>
      </c>
      <c r="Z334">
        <v>30272.100000000002</v>
      </c>
      <c r="AA334">
        <v>6527.8800000000028</v>
      </c>
    </row>
    <row r="335" spans="1:27" x14ac:dyDescent="0.3">
      <c r="A335" t="s">
        <v>862</v>
      </c>
      <c r="B335" s="1">
        <v>45259</v>
      </c>
      <c r="C335" t="s">
        <v>149</v>
      </c>
      <c r="D335" t="s">
        <v>27</v>
      </c>
      <c r="E335">
        <v>3</v>
      </c>
      <c r="F335" t="s">
        <v>51</v>
      </c>
      <c r="G335">
        <v>7</v>
      </c>
      <c r="H335" t="s">
        <v>150</v>
      </c>
      <c r="I335" t="s">
        <v>30</v>
      </c>
      <c r="J335">
        <v>44</v>
      </c>
      <c r="K335" t="s">
        <v>73</v>
      </c>
      <c r="L335" t="s">
        <v>81</v>
      </c>
      <c r="M335" s="1">
        <v>44918</v>
      </c>
      <c r="N335" t="s">
        <v>33</v>
      </c>
      <c r="O335" t="s">
        <v>34</v>
      </c>
      <c r="P335" t="s">
        <v>35</v>
      </c>
      <c r="Q335" t="s">
        <v>36</v>
      </c>
      <c r="R335">
        <v>4318.8599999999997</v>
      </c>
      <c r="S335">
        <v>4880.6400000000003</v>
      </c>
      <c r="T335">
        <v>149</v>
      </c>
      <c r="U335">
        <v>14287.98</v>
      </c>
      <c r="V335">
        <v>918.91</v>
      </c>
      <c r="W335">
        <v>13369.07</v>
      </c>
      <c r="X335">
        <v>2451.73</v>
      </c>
      <c r="Y335" t="s">
        <v>47</v>
      </c>
      <c r="Z335">
        <v>14641.920000000002</v>
      </c>
      <c r="AA335">
        <v>1685.340000000002</v>
      </c>
    </row>
    <row r="336" spans="1:27" x14ac:dyDescent="0.3">
      <c r="A336" t="s">
        <v>863</v>
      </c>
      <c r="B336" s="1">
        <v>45211</v>
      </c>
      <c r="C336" t="s">
        <v>864</v>
      </c>
      <c r="D336" t="s">
        <v>98</v>
      </c>
      <c r="E336">
        <v>5</v>
      </c>
      <c r="F336" t="s">
        <v>51</v>
      </c>
      <c r="G336">
        <v>19</v>
      </c>
      <c r="H336" t="s">
        <v>865</v>
      </c>
      <c r="I336" t="s">
        <v>80</v>
      </c>
      <c r="J336">
        <v>38</v>
      </c>
      <c r="K336" t="s">
        <v>65</v>
      </c>
      <c r="L336" t="s">
        <v>81</v>
      </c>
      <c r="M336" s="1">
        <v>44677</v>
      </c>
      <c r="N336" t="s">
        <v>33</v>
      </c>
      <c r="O336" t="s">
        <v>100</v>
      </c>
      <c r="P336" t="s">
        <v>94</v>
      </c>
      <c r="Q336" t="s">
        <v>36</v>
      </c>
      <c r="R336">
        <v>4225.4799999999996</v>
      </c>
      <c r="S336">
        <v>6100.15</v>
      </c>
      <c r="T336">
        <v>279</v>
      </c>
      <c r="U336">
        <v>4988.6000000000004</v>
      </c>
      <c r="V336">
        <v>982</v>
      </c>
      <c r="W336">
        <v>4006.6</v>
      </c>
      <c r="X336">
        <v>4987.42</v>
      </c>
      <c r="Y336" t="s">
        <v>83</v>
      </c>
      <c r="Z336">
        <v>30500.75</v>
      </c>
      <c r="AA336">
        <v>9373.35</v>
      </c>
    </row>
    <row r="337" spans="1:27" x14ac:dyDescent="0.3">
      <c r="A337" t="s">
        <v>866</v>
      </c>
      <c r="B337" s="1">
        <v>45289</v>
      </c>
      <c r="C337" t="s">
        <v>359</v>
      </c>
      <c r="D337" t="s">
        <v>230</v>
      </c>
      <c r="E337">
        <v>3</v>
      </c>
      <c r="F337" t="s">
        <v>78</v>
      </c>
      <c r="G337">
        <v>25</v>
      </c>
      <c r="H337" t="s">
        <v>360</v>
      </c>
      <c r="I337" t="s">
        <v>30</v>
      </c>
      <c r="J337">
        <v>24</v>
      </c>
      <c r="K337" t="s">
        <v>31</v>
      </c>
      <c r="L337" t="s">
        <v>81</v>
      </c>
      <c r="M337" s="1">
        <v>45026</v>
      </c>
      <c r="N337" t="s">
        <v>54</v>
      </c>
      <c r="O337" t="s">
        <v>232</v>
      </c>
      <c r="P337" t="s">
        <v>110</v>
      </c>
      <c r="Q337" t="s">
        <v>46</v>
      </c>
      <c r="R337">
        <v>4570.75</v>
      </c>
      <c r="S337">
        <v>5891.26</v>
      </c>
      <c r="T337">
        <v>285</v>
      </c>
      <c r="U337">
        <v>12081.7</v>
      </c>
      <c r="V337">
        <v>669.65</v>
      </c>
      <c r="W337">
        <v>11412.05</v>
      </c>
      <c r="X337">
        <v>1704.05</v>
      </c>
      <c r="Y337" t="s">
        <v>83</v>
      </c>
      <c r="Z337">
        <v>17673.78</v>
      </c>
      <c r="AA337">
        <v>3961.5300000000007</v>
      </c>
    </row>
    <row r="338" spans="1:27" x14ac:dyDescent="0.3">
      <c r="A338" t="s">
        <v>867</v>
      </c>
      <c r="B338" s="1">
        <v>45231</v>
      </c>
      <c r="C338" t="s">
        <v>368</v>
      </c>
      <c r="D338" t="s">
        <v>197</v>
      </c>
      <c r="E338">
        <v>5</v>
      </c>
      <c r="F338" t="s">
        <v>90</v>
      </c>
      <c r="G338">
        <v>5</v>
      </c>
      <c r="H338" t="s">
        <v>369</v>
      </c>
      <c r="I338" t="s">
        <v>80</v>
      </c>
      <c r="J338">
        <v>30</v>
      </c>
      <c r="K338" t="s">
        <v>73</v>
      </c>
      <c r="L338" t="s">
        <v>108</v>
      </c>
      <c r="M338" s="1">
        <v>44835</v>
      </c>
      <c r="N338" t="s">
        <v>54</v>
      </c>
      <c r="O338" t="s">
        <v>199</v>
      </c>
      <c r="P338" t="s">
        <v>35</v>
      </c>
      <c r="Q338" t="s">
        <v>46</v>
      </c>
      <c r="R338">
        <v>1612.7</v>
      </c>
      <c r="S338">
        <v>1932.63</v>
      </c>
      <c r="T338">
        <v>278</v>
      </c>
      <c r="U338">
        <v>18031.25</v>
      </c>
      <c r="V338">
        <v>1282.8800000000001</v>
      </c>
      <c r="W338">
        <v>16748.37</v>
      </c>
      <c r="X338">
        <v>3335.24</v>
      </c>
      <c r="Y338" t="s">
        <v>83</v>
      </c>
      <c r="Z338">
        <v>9663.1500000000015</v>
      </c>
      <c r="AA338">
        <v>1599.6500000000003</v>
      </c>
    </row>
    <row r="339" spans="1:27" x14ac:dyDescent="0.3">
      <c r="A339" t="s">
        <v>868</v>
      </c>
      <c r="B339" s="1">
        <v>44935</v>
      </c>
      <c r="C339" t="s">
        <v>116</v>
      </c>
      <c r="D339" t="s">
        <v>349</v>
      </c>
      <c r="E339">
        <v>3</v>
      </c>
      <c r="F339" t="s">
        <v>28</v>
      </c>
      <c r="G339">
        <v>15</v>
      </c>
      <c r="H339" t="s">
        <v>118</v>
      </c>
      <c r="I339" t="s">
        <v>80</v>
      </c>
      <c r="J339">
        <v>52</v>
      </c>
      <c r="K339" t="s">
        <v>31</v>
      </c>
      <c r="L339" t="s">
        <v>43</v>
      </c>
      <c r="M339" s="1">
        <v>45163</v>
      </c>
      <c r="N339" t="s">
        <v>54</v>
      </c>
      <c r="O339" t="s">
        <v>350</v>
      </c>
      <c r="P339" t="s">
        <v>35</v>
      </c>
      <c r="Q339" t="s">
        <v>120</v>
      </c>
      <c r="R339">
        <v>2100.67</v>
      </c>
      <c r="S339">
        <v>3046.71</v>
      </c>
      <c r="T339">
        <v>206</v>
      </c>
      <c r="U339">
        <v>19033.990000000002</v>
      </c>
      <c r="V339">
        <v>2187.27</v>
      </c>
      <c r="W339">
        <v>16846.72</v>
      </c>
      <c r="X339">
        <v>3690.15</v>
      </c>
      <c r="Y339" t="s">
        <v>83</v>
      </c>
      <c r="Z339">
        <v>9140.130000000001</v>
      </c>
      <c r="AA339">
        <v>2838.12</v>
      </c>
    </row>
    <row r="340" spans="1:27" x14ac:dyDescent="0.3">
      <c r="A340" t="s">
        <v>869</v>
      </c>
      <c r="B340" s="1">
        <v>45019</v>
      </c>
      <c r="C340" t="s">
        <v>249</v>
      </c>
      <c r="D340" t="s">
        <v>393</v>
      </c>
      <c r="E340">
        <v>4</v>
      </c>
      <c r="F340" t="s">
        <v>90</v>
      </c>
      <c r="G340">
        <v>12</v>
      </c>
      <c r="H340" t="s">
        <v>250</v>
      </c>
      <c r="I340" t="s">
        <v>30</v>
      </c>
      <c r="J340">
        <v>53</v>
      </c>
      <c r="K340" t="s">
        <v>92</v>
      </c>
      <c r="L340" t="s">
        <v>81</v>
      </c>
      <c r="M340" s="1">
        <v>45745</v>
      </c>
      <c r="N340" t="s">
        <v>54</v>
      </c>
      <c r="O340" t="s">
        <v>395</v>
      </c>
      <c r="P340" t="s">
        <v>35</v>
      </c>
      <c r="Q340" t="s">
        <v>111</v>
      </c>
      <c r="R340">
        <v>4793.34</v>
      </c>
      <c r="S340">
        <v>7058.65</v>
      </c>
      <c r="T340">
        <v>107</v>
      </c>
      <c r="U340">
        <v>8407.75</v>
      </c>
      <c r="V340">
        <v>1601.33</v>
      </c>
      <c r="W340">
        <v>6806.42</v>
      </c>
      <c r="X340">
        <v>4174.2299999999996</v>
      </c>
      <c r="Y340" t="s">
        <v>37</v>
      </c>
      <c r="Z340">
        <v>28234.6</v>
      </c>
      <c r="AA340">
        <v>9061.239999999998</v>
      </c>
    </row>
    <row r="341" spans="1:27" x14ac:dyDescent="0.3">
      <c r="A341" t="s">
        <v>870</v>
      </c>
      <c r="B341" s="1">
        <v>44953</v>
      </c>
      <c r="C341" t="s">
        <v>871</v>
      </c>
      <c r="D341" t="s">
        <v>102</v>
      </c>
      <c r="E341">
        <v>6</v>
      </c>
      <c r="F341" t="s">
        <v>28</v>
      </c>
      <c r="G341">
        <v>20</v>
      </c>
      <c r="H341" t="s">
        <v>872</v>
      </c>
      <c r="I341" t="s">
        <v>80</v>
      </c>
      <c r="J341">
        <v>46</v>
      </c>
      <c r="K341" t="s">
        <v>31</v>
      </c>
      <c r="L341" t="s">
        <v>53</v>
      </c>
      <c r="M341" s="1">
        <v>44598</v>
      </c>
      <c r="N341" t="s">
        <v>33</v>
      </c>
      <c r="O341" t="s">
        <v>103</v>
      </c>
      <c r="P341" t="s">
        <v>94</v>
      </c>
      <c r="Q341" t="s">
        <v>46</v>
      </c>
      <c r="R341">
        <v>4398.43</v>
      </c>
      <c r="S341">
        <v>6683.28</v>
      </c>
      <c r="T341">
        <v>152</v>
      </c>
      <c r="U341">
        <v>2852.42</v>
      </c>
      <c r="V341">
        <v>527.57000000000005</v>
      </c>
      <c r="W341">
        <v>2324.85</v>
      </c>
      <c r="X341">
        <v>542.48</v>
      </c>
      <c r="Y341" t="s">
        <v>56</v>
      </c>
      <c r="Z341">
        <v>40099.68</v>
      </c>
      <c r="AA341">
        <v>13709.099999999997</v>
      </c>
    </row>
    <row r="342" spans="1:27" x14ac:dyDescent="0.3">
      <c r="A342" t="s">
        <v>873</v>
      </c>
      <c r="B342" s="1">
        <v>45182</v>
      </c>
      <c r="C342" t="s">
        <v>518</v>
      </c>
      <c r="D342" t="s">
        <v>63</v>
      </c>
      <c r="E342">
        <v>5</v>
      </c>
      <c r="F342" t="s">
        <v>51</v>
      </c>
      <c r="G342">
        <v>19</v>
      </c>
      <c r="H342" t="s">
        <v>519</v>
      </c>
      <c r="I342" t="s">
        <v>30</v>
      </c>
      <c r="J342">
        <v>42</v>
      </c>
      <c r="K342" t="s">
        <v>155</v>
      </c>
      <c r="L342" t="s">
        <v>66</v>
      </c>
      <c r="M342" s="1">
        <v>44880</v>
      </c>
      <c r="N342" t="s">
        <v>54</v>
      </c>
      <c r="O342" t="s">
        <v>67</v>
      </c>
      <c r="P342" t="s">
        <v>68</v>
      </c>
      <c r="Q342" t="s">
        <v>46</v>
      </c>
      <c r="R342">
        <v>2961.83</v>
      </c>
      <c r="S342">
        <v>4189.8100000000004</v>
      </c>
      <c r="T342">
        <v>165</v>
      </c>
      <c r="U342">
        <v>11669.48</v>
      </c>
      <c r="V342">
        <v>2187.85</v>
      </c>
      <c r="W342">
        <v>9481.6299999999992</v>
      </c>
      <c r="X342">
        <v>685.4</v>
      </c>
      <c r="Y342" t="s">
        <v>56</v>
      </c>
      <c r="Z342">
        <v>20949.050000000003</v>
      </c>
      <c r="AA342">
        <v>6139.9000000000024</v>
      </c>
    </row>
    <row r="343" spans="1:27" x14ac:dyDescent="0.3">
      <c r="A343" t="s">
        <v>874</v>
      </c>
      <c r="B343" s="1">
        <v>44929</v>
      </c>
      <c r="C343" t="s">
        <v>309</v>
      </c>
      <c r="D343" t="s">
        <v>287</v>
      </c>
      <c r="E343">
        <v>2</v>
      </c>
      <c r="F343" t="s">
        <v>51</v>
      </c>
      <c r="G343">
        <v>12</v>
      </c>
      <c r="H343" t="s">
        <v>310</v>
      </c>
      <c r="I343" t="s">
        <v>80</v>
      </c>
      <c r="J343">
        <v>37</v>
      </c>
      <c r="K343" t="s">
        <v>60</v>
      </c>
      <c r="L343" t="s">
        <v>53</v>
      </c>
      <c r="M343" s="1">
        <v>45270</v>
      </c>
      <c r="N343" t="s">
        <v>44</v>
      </c>
      <c r="O343" t="s">
        <v>288</v>
      </c>
      <c r="P343" t="s">
        <v>68</v>
      </c>
      <c r="Q343" t="s">
        <v>46</v>
      </c>
      <c r="R343">
        <v>2345.7800000000002</v>
      </c>
      <c r="S343">
        <v>2891.96</v>
      </c>
      <c r="T343">
        <v>122</v>
      </c>
      <c r="U343">
        <v>9949.48</v>
      </c>
      <c r="V343">
        <v>926.02</v>
      </c>
      <c r="W343">
        <v>9023.4599999999991</v>
      </c>
      <c r="X343">
        <v>2908.58</v>
      </c>
      <c r="Y343" t="s">
        <v>83</v>
      </c>
      <c r="Z343">
        <v>5783.92</v>
      </c>
      <c r="AA343">
        <v>1092.3599999999997</v>
      </c>
    </row>
    <row r="344" spans="1:27" x14ac:dyDescent="0.3">
      <c r="A344" t="s">
        <v>875</v>
      </c>
      <c r="B344" s="1">
        <v>45117</v>
      </c>
      <c r="C344" t="s">
        <v>554</v>
      </c>
      <c r="D344" t="s">
        <v>428</v>
      </c>
      <c r="E344">
        <v>3</v>
      </c>
      <c r="F344" t="s">
        <v>51</v>
      </c>
      <c r="G344">
        <v>5</v>
      </c>
      <c r="H344" t="s">
        <v>555</v>
      </c>
      <c r="I344" t="s">
        <v>80</v>
      </c>
      <c r="J344">
        <v>33</v>
      </c>
      <c r="K344" t="s">
        <v>31</v>
      </c>
      <c r="L344" t="s">
        <v>108</v>
      </c>
      <c r="M344" s="1">
        <v>45546</v>
      </c>
      <c r="N344" t="s">
        <v>54</v>
      </c>
      <c r="O344" t="s">
        <v>429</v>
      </c>
      <c r="P344" t="s">
        <v>110</v>
      </c>
      <c r="Q344" t="s">
        <v>46</v>
      </c>
      <c r="R344">
        <v>929.24</v>
      </c>
      <c r="S344">
        <v>1350.29</v>
      </c>
      <c r="T344">
        <v>22</v>
      </c>
      <c r="U344">
        <v>18351.62</v>
      </c>
      <c r="V344">
        <v>1836.49</v>
      </c>
      <c r="W344">
        <v>16515.13</v>
      </c>
      <c r="X344">
        <v>4493.24</v>
      </c>
      <c r="Y344" t="s">
        <v>56</v>
      </c>
      <c r="Z344">
        <v>4050.87</v>
      </c>
      <c r="AA344">
        <v>1263.1499999999999</v>
      </c>
    </row>
    <row r="345" spans="1:27" x14ac:dyDescent="0.3">
      <c r="A345" t="s">
        <v>876</v>
      </c>
      <c r="B345" s="1">
        <v>45267</v>
      </c>
      <c r="C345" t="s">
        <v>696</v>
      </c>
      <c r="D345" t="s">
        <v>354</v>
      </c>
      <c r="E345">
        <v>2</v>
      </c>
      <c r="F345" t="s">
        <v>90</v>
      </c>
      <c r="G345">
        <v>18</v>
      </c>
      <c r="H345" t="s">
        <v>697</v>
      </c>
      <c r="I345" t="s">
        <v>30</v>
      </c>
      <c r="J345">
        <v>36</v>
      </c>
      <c r="K345" t="s">
        <v>65</v>
      </c>
      <c r="L345" t="s">
        <v>66</v>
      </c>
      <c r="M345" s="1">
        <v>44900</v>
      </c>
      <c r="N345" t="s">
        <v>54</v>
      </c>
      <c r="O345" t="s">
        <v>356</v>
      </c>
      <c r="P345" t="s">
        <v>68</v>
      </c>
      <c r="Q345" t="s">
        <v>120</v>
      </c>
      <c r="R345">
        <v>3959.29</v>
      </c>
      <c r="S345">
        <v>5340.73</v>
      </c>
      <c r="T345">
        <v>91</v>
      </c>
      <c r="U345">
        <v>16645.78</v>
      </c>
      <c r="V345">
        <v>2041.76</v>
      </c>
      <c r="W345">
        <v>14604.02</v>
      </c>
      <c r="X345">
        <v>630.54</v>
      </c>
      <c r="Y345" t="s">
        <v>56</v>
      </c>
      <c r="Z345">
        <v>10681.46</v>
      </c>
      <c r="AA345">
        <v>2762.8799999999992</v>
      </c>
    </row>
    <row r="346" spans="1:27" x14ac:dyDescent="0.3">
      <c r="A346" t="s">
        <v>877</v>
      </c>
      <c r="B346" s="1">
        <v>45285</v>
      </c>
      <c r="C346" t="s">
        <v>878</v>
      </c>
      <c r="D346" t="s">
        <v>236</v>
      </c>
      <c r="E346">
        <v>4</v>
      </c>
      <c r="F346" t="s">
        <v>28</v>
      </c>
      <c r="G346">
        <v>3</v>
      </c>
      <c r="H346" t="s">
        <v>879</v>
      </c>
      <c r="I346" t="s">
        <v>80</v>
      </c>
      <c r="J346">
        <v>43</v>
      </c>
      <c r="K346" t="s">
        <v>155</v>
      </c>
      <c r="L346" t="s">
        <v>43</v>
      </c>
      <c r="M346" s="1">
        <v>45272</v>
      </c>
      <c r="N346" t="s">
        <v>33</v>
      </c>
      <c r="O346" t="s">
        <v>238</v>
      </c>
      <c r="P346" t="s">
        <v>68</v>
      </c>
      <c r="Q346" t="s">
        <v>120</v>
      </c>
      <c r="R346">
        <v>3957.37</v>
      </c>
      <c r="S346">
        <v>5045.3500000000004</v>
      </c>
      <c r="T346">
        <v>227</v>
      </c>
      <c r="U346">
        <v>17123.98</v>
      </c>
      <c r="V346">
        <v>3027.16</v>
      </c>
      <c r="W346">
        <v>14096.82</v>
      </c>
      <c r="X346">
        <v>4303.63</v>
      </c>
      <c r="Y346" t="s">
        <v>83</v>
      </c>
      <c r="Z346">
        <v>20181.400000000001</v>
      </c>
      <c r="AA346">
        <v>4351.9200000000019</v>
      </c>
    </row>
    <row r="347" spans="1:27" x14ac:dyDescent="0.3">
      <c r="A347" t="s">
        <v>880</v>
      </c>
      <c r="B347" s="1">
        <v>44954</v>
      </c>
      <c r="C347" t="s">
        <v>306</v>
      </c>
      <c r="D347" t="s">
        <v>471</v>
      </c>
      <c r="E347">
        <v>1</v>
      </c>
      <c r="F347" t="s">
        <v>90</v>
      </c>
      <c r="G347">
        <v>19</v>
      </c>
      <c r="H347" t="s">
        <v>307</v>
      </c>
      <c r="I347" t="s">
        <v>30</v>
      </c>
      <c r="J347">
        <v>23</v>
      </c>
      <c r="K347" t="s">
        <v>42</v>
      </c>
      <c r="L347" t="s">
        <v>32</v>
      </c>
      <c r="M347" s="1">
        <v>45214</v>
      </c>
      <c r="N347" t="s">
        <v>54</v>
      </c>
      <c r="O347" t="s">
        <v>473</v>
      </c>
      <c r="P347" t="s">
        <v>68</v>
      </c>
      <c r="Q347" t="s">
        <v>120</v>
      </c>
      <c r="R347">
        <v>1492.62</v>
      </c>
      <c r="S347">
        <v>2285.1999999999998</v>
      </c>
      <c r="T347">
        <v>106</v>
      </c>
      <c r="U347">
        <v>2146.3200000000002</v>
      </c>
      <c r="V347">
        <v>327.04000000000002</v>
      </c>
      <c r="W347">
        <v>1819.28</v>
      </c>
      <c r="X347">
        <v>2513.0700000000002</v>
      </c>
      <c r="Y347" t="s">
        <v>37</v>
      </c>
      <c r="Z347">
        <v>2285.1999999999998</v>
      </c>
      <c r="AA347">
        <v>792.57999999999993</v>
      </c>
    </row>
    <row r="348" spans="1:27" x14ac:dyDescent="0.3">
      <c r="A348" t="s">
        <v>881</v>
      </c>
      <c r="B348" s="1">
        <v>44965</v>
      </c>
      <c r="C348" t="s">
        <v>882</v>
      </c>
      <c r="D348" t="s">
        <v>650</v>
      </c>
      <c r="E348">
        <v>6</v>
      </c>
      <c r="F348" t="s">
        <v>28</v>
      </c>
      <c r="G348">
        <v>10</v>
      </c>
      <c r="H348" t="s">
        <v>883</v>
      </c>
      <c r="I348" t="s">
        <v>30</v>
      </c>
      <c r="J348">
        <v>42</v>
      </c>
      <c r="K348" t="s">
        <v>31</v>
      </c>
      <c r="L348" t="s">
        <v>81</v>
      </c>
      <c r="M348" s="1">
        <v>44861</v>
      </c>
      <c r="N348" t="s">
        <v>44</v>
      </c>
      <c r="O348" t="s">
        <v>652</v>
      </c>
      <c r="P348" t="s">
        <v>110</v>
      </c>
      <c r="Q348" t="s">
        <v>46</v>
      </c>
      <c r="R348">
        <v>4581.92</v>
      </c>
      <c r="S348">
        <v>5789.36</v>
      </c>
      <c r="T348">
        <v>140</v>
      </c>
      <c r="U348">
        <v>8734.9</v>
      </c>
      <c r="V348">
        <v>486.83</v>
      </c>
      <c r="W348">
        <v>8248.07</v>
      </c>
      <c r="X348">
        <v>4163.6000000000004</v>
      </c>
      <c r="Y348" t="s">
        <v>37</v>
      </c>
      <c r="Z348">
        <v>34736.159999999996</v>
      </c>
      <c r="AA348">
        <v>7244.6399999999976</v>
      </c>
    </row>
    <row r="349" spans="1:27" x14ac:dyDescent="0.3">
      <c r="A349" t="s">
        <v>884</v>
      </c>
      <c r="B349" s="1">
        <v>44977</v>
      </c>
      <c r="C349" t="s">
        <v>353</v>
      </c>
      <c r="D349" t="s">
        <v>122</v>
      </c>
      <c r="E349">
        <v>4</v>
      </c>
      <c r="F349" t="s">
        <v>51</v>
      </c>
      <c r="G349">
        <v>22</v>
      </c>
      <c r="H349" t="s">
        <v>355</v>
      </c>
      <c r="I349" t="s">
        <v>80</v>
      </c>
      <c r="J349">
        <v>28</v>
      </c>
      <c r="K349" t="s">
        <v>42</v>
      </c>
      <c r="L349" t="s">
        <v>43</v>
      </c>
      <c r="M349" s="1">
        <v>44997</v>
      </c>
      <c r="N349" t="s">
        <v>33</v>
      </c>
      <c r="O349" t="s">
        <v>123</v>
      </c>
      <c r="P349" t="s">
        <v>68</v>
      </c>
      <c r="Q349" t="s">
        <v>46</v>
      </c>
      <c r="R349">
        <v>1480.33</v>
      </c>
      <c r="S349">
        <v>1709.3</v>
      </c>
      <c r="T349">
        <v>229</v>
      </c>
      <c r="U349">
        <v>17317.13</v>
      </c>
      <c r="V349">
        <v>3091.78</v>
      </c>
      <c r="W349">
        <v>14225.35</v>
      </c>
      <c r="X349">
        <v>434.69</v>
      </c>
      <c r="Y349" t="s">
        <v>83</v>
      </c>
      <c r="Z349">
        <v>6837.2</v>
      </c>
      <c r="AA349">
        <v>915.88000000000011</v>
      </c>
    </row>
    <row r="350" spans="1:27" x14ac:dyDescent="0.3">
      <c r="A350" t="s">
        <v>885</v>
      </c>
      <c r="B350" s="1">
        <v>44947</v>
      </c>
      <c r="C350" t="s">
        <v>608</v>
      </c>
      <c r="D350" t="s">
        <v>89</v>
      </c>
      <c r="E350">
        <v>4</v>
      </c>
      <c r="F350" t="s">
        <v>51</v>
      </c>
      <c r="G350">
        <v>0</v>
      </c>
      <c r="H350" t="s">
        <v>609</v>
      </c>
      <c r="I350" t="s">
        <v>80</v>
      </c>
      <c r="J350">
        <v>38</v>
      </c>
      <c r="K350" t="s">
        <v>60</v>
      </c>
      <c r="L350" t="s">
        <v>53</v>
      </c>
      <c r="M350" s="1">
        <v>44660</v>
      </c>
      <c r="N350" t="s">
        <v>33</v>
      </c>
      <c r="O350" t="s">
        <v>93</v>
      </c>
      <c r="P350" t="s">
        <v>94</v>
      </c>
      <c r="Q350" t="s">
        <v>46</v>
      </c>
      <c r="R350">
        <v>1290.44</v>
      </c>
      <c r="S350">
        <v>1756.94</v>
      </c>
      <c r="T350">
        <v>226</v>
      </c>
      <c r="U350">
        <v>17772.16</v>
      </c>
      <c r="V350">
        <v>3704.08</v>
      </c>
      <c r="W350">
        <v>14068.08</v>
      </c>
      <c r="X350">
        <v>2405.35</v>
      </c>
      <c r="Y350" t="s">
        <v>37</v>
      </c>
      <c r="Z350">
        <v>7027.76</v>
      </c>
      <c r="AA350">
        <v>1866</v>
      </c>
    </row>
    <row r="351" spans="1:27" x14ac:dyDescent="0.3">
      <c r="A351" t="s">
        <v>886</v>
      </c>
      <c r="B351" s="1">
        <v>45086</v>
      </c>
      <c r="C351" t="s">
        <v>887</v>
      </c>
      <c r="D351" t="s">
        <v>393</v>
      </c>
      <c r="E351">
        <v>4</v>
      </c>
      <c r="F351" t="s">
        <v>90</v>
      </c>
      <c r="G351">
        <v>1</v>
      </c>
      <c r="H351" t="s">
        <v>888</v>
      </c>
      <c r="I351" t="s">
        <v>30</v>
      </c>
      <c r="J351">
        <v>41</v>
      </c>
      <c r="K351" t="s">
        <v>92</v>
      </c>
      <c r="L351" t="s">
        <v>53</v>
      </c>
      <c r="M351" s="1">
        <v>45514</v>
      </c>
      <c r="N351" t="s">
        <v>54</v>
      </c>
      <c r="O351" t="s">
        <v>395</v>
      </c>
      <c r="P351" t="s">
        <v>35</v>
      </c>
      <c r="Q351" t="s">
        <v>111</v>
      </c>
      <c r="R351">
        <v>4793.34</v>
      </c>
      <c r="S351">
        <v>7058.65</v>
      </c>
      <c r="T351">
        <v>107</v>
      </c>
      <c r="U351">
        <v>1455.57</v>
      </c>
      <c r="V351">
        <v>276.3</v>
      </c>
      <c r="W351">
        <v>1179.27</v>
      </c>
      <c r="X351">
        <v>4992.03</v>
      </c>
      <c r="Y351" t="s">
        <v>47</v>
      </c>
      <c r="Z351">
        <v>28234.6</v>
      </c>
      <c r="AA351">
        <v>9061.239999999998</v>
      </c>
    </row>
    <row r="352" spans="1:27" x14ac:dyDescent="0.3">
      <c r="A352" t="s">
        <v>889</v>
      </c>
      <c r="B352" s="1">
        <v>44999</v>
      </c>
      <c r="C352" t="s">
        <v>693</v>
      </c>
      <c r="D352" t="s">
        <v>510</v>
      </c>
      <c r="E352">
        <v>5</v>
      </c>
      <c r="F352" t="s">
        <v>90</v>
      </c>
      <c r="G352">
        <v>9</v>
      </c>
      <c r="H352" t="s">
        <v>694</v>
      </c>
      <c r="I352" t="s">
        <v>30</v>
      </c>
      <c r="J352">
        <v>47</v>
      </c>
      <c r="K352" t="s">
        <v>155</v>
      </c>
      <c r="L352" t="s">
        <v>108</v>
      </c>
      <c r="M352" s="1">
        <v>45417</v>
      </c>
      <c r="N352" t="s">
        <v>44</v>
      </c>
      <c r="O352" t="s">
        <v>512</v>
      </c>
      <c r="P352" t="s">
        <v>110</v>
      </c>
      <c r="Q352" t="s">
        <v>36</v>
      </c>
      <c r="R352">
        <v>952.01</v>
      </c>
      <c r="S352">
        <v>1107.5</v>
      </c>
      <c r="T352">
        <v>162</v>
      </c>
      <c r="U352">
        <v>731.39</v>
      </c>
      <c r="V352">
        <v>5.52</v>
      </c>
      <c r="W352">
        <v>725.87</v>
      </c>
      <c r="X352">
        <v>443.75</v>
      </c>
      <c r="Y352" t="s">
        <v>47</v>
      </c>
      <c r="Z352">
        <v>5537.5</v>
      </c>
      <c r="AA352">
        <v>777.45</v>
      </c>
    </row>
    <row r="353" spans="1:27" x14ac:dyDescent="0.3">
      <c r="A353" t="s">
        <v>890</v>
      </c>
      <c r="B353" s="1">
        <v>45175</v>
      </c>
      <c r="C353" t="s">
        <v>749</v>
      </c>
      <c r="D353" t="s">
        <v>89</v>
      </c>
      <c r="E353">
        <v>3</v>
      </c>
      <c r="F353" t="s">
        <v>51</v>
      </c>
      <c r="G353">
        <v>16</v>
      </c>
      <c r="H353" t="s">
        <v>750</v>
      </c>
      <c r="I353" t="s">
        <v>30</v>
      </c>
      <c r="J353">
        <v>37</v>
      </c>
      <c r="K353" t="s">
        <v>155</v>
      </c>
      <c r="L353" t="s">
        <v>32</v>
      </c>
      <c r="M353" s="1">
        <v>45308</v>
      </c>
      <c r="N353" t="s">
        <v>33</v>
      </c>
      <c r="O353" t="s">
        <v>93</v>
      </c>
      <c r="P353" t="s">
        <v>94</v>
      </c>
      <c r="Q353" t="s">
        <v>46</v>
      </c>
      <c r="R353">
        <v>1290.44</v>
      </c>
      <c r="S353">
        <v>1756.94</v>
      </c>
      <c r="T353">
        <v>226</v>
      </c>
      <c r="U353">
        <v>948.11</v>
      </c>
      <c r="V353">
        <v>195.9</v>
      </c>
      <c r="W353">
        <v>752.21</v>
      </c>
      <c r="X353">
        <v>1226.99</v>
      </c>
      <c r="Y353" t="s">
        <v>56</v>
      </c>
      <c r="Z353">
        <v>5270.82</v>
      </c>
      <c r="AA353">
        <v>1399.5</v>
      </c>
    </row>
    <row r="354" spans="1:27" x14ac:dyDescent="0.3">
      <c r="A354" t="s">
        <v>891</v>
      </c>
      <c r="B354" s="1">
        <v>45206</v>
      </c>
      <c r="C354" t="s">
        <v>892</v>
      </c>
      <c r="D354" t="s">
        <v>322</v>
      </c>
      <c r="E354">
        <v>5</v>
      </c>
      <c r="F354" t="s">
        <v>78</v>
      </c>
      <c r="G354">
        <v>21</v>
      </c>
      <c r="H354" t="s">
        <v>893</v>
      </c>
      <c r="I354" t="s">
        <v>30</v>
      </c>
      <c r="J354">
        <v>58</v>
      </c>
      <c r="K354" t="s">
        <v>73</v>
      </c>
      <c r="L354" t="s">
        <v>43</v>
      </c>
      <c r="M354" s="1">
        <v>44640</v>
      </c>
      <c r="N354" t="s">
        <v>44</v>
      </c>
      <c r="O354" t="s">
        <v>324</v>
      </c>
      <c r="P354" t="s">
        <v>35</v>
      </c>
      <c r="Q354" t="s">
        <v>111</v>
      </c>
      <c r="R354">
        <v>3696.72</v>
      </c>
      <c r="S354">
        <v>4397.13</v>
      </c>
      <c r="T354">
        <v>92</v>
      </c>
      <c r="U354">
        <v>14365.14</v>
      </c>
      <c r="V354">
        <v>1990.1</v>
      </c>
      <c r="W354">
        <v>12375.04</v>
      </c>
      <c r="X354">
        <v>3903.56</v>
      </c>
      <c r="Y354" t="s">
        <v>37</v>
      </c>
      <c r="Z354">
        <v>21985.65</v>
      </c>
      <c r="AA354">
        <v>3502.0500000000015</v>
      </c>
    </row>
    <row r="355" spans="1:27" x14ac:dyDescent="0.3">
      <c r="A355" t="s">
        <v>894</v>
      </c>
      <c r="B355" s="1">
        <v>45140</v>
      </c>
      <c r="C355" t="s">
        <v>633</v>
      </c>
      <c r="D355" t="s">
        <v>71</v>
      </c>
      <c r="E355">
        <v>6</v>
      </c>
      <c r="F355" t="s">
        <v>90</v>
      </c>
      <c r="G355">
        <v>23</v>
      </c>
      <c r="H355" t="s">
        <v>634</v>
      </c>
      <c r="I355" t="s">
        <v>80</v>
      </c>
      <c r="J355">
        <v>60</v>
      </c>
      <c r="K355" t="s">
        <v>53</v>
      </c>
      <c r="L355" t="s">
        <v>43</v>
      </c>
      <c r="M355" s="1">
        <v>45017</v>
      </c>
      <c r="N355" t="s">
        <v>54</v>
      </c>
      <c r="O355" t="s">
        <v>74</v>
      </c>
      <c r="P355" t="s">
        <v>35</v>
      </c>
      <c r="Q355" t="s">
        <v>36</v>
      </c>
      <c r="R355">
        <v>3231.26</v>
      </c>
      <c r="S355">
        <v>4308.05</v>
      </c>
      <c r="T355">
        <v>21</v>
      </c>
      <c r="U355">
        <v>5104.28</v>
      </c>
      <c r="V355">
        <v>1086.47</v>
      </c>
      <c r="W355">
        <v>4017.81</v>
      </c>
      <c r="X355">
        <v>3337.91</v>
      </c>
      <c r="Y355" t="s">
        <v>47</v>
      </c>
      <c r="Z355">
        <v>25848.300000000003</v>
      </c>
      <c r="AA355">
        <v>6460.74</v>
      </c>
    </row>
    <row r="356" spans="1:27" x14ac:dyDescent="0.3">
      <c r="A356" t="s">
        <v>895</v>
      </c>
      <c r="B356" s="1">
        <v>45093</v>
      </c>
      <c r="C356" t="s">
        <v>759</v>
      </c>
      <c r="D356" t="s">
        <v>471</v>
      </c>
      <c r="E356">
        <v>6</v>
      </c>
      <c r="F356" t="s">
        <v>90</v>
      </c>
      <c r="G356">
        <v>12</v>
      </c>
      <c r="H356" t="s">
        <v>760</v>
      </c>
      <c r="I356" t="s">
        <v>80</v>
      </c>
      <c r="J356">
        <v>41</v>
      </c>
      <c r="K356" t="s">
        <v>155</v>
      </c>
      <c r="L356" t="s">
        <v>53</v>
      </c>
      <c r="M356" s="1">
        <v>44752</v>
      </c>
      <c r="N356" t="s">
        <v>54</v>
      </c>
      <c r="O356" t="s">
        <v>473</v>
      </c>
      <c r="P356" t="s">
        <v>68</v>
      </c>
      <c r="Q356" t="s">
        <v>120</v>
      </c>
      <c r="R356">
        <v>1492.62</v>
      </c>
      <c r="S356">
        <v>2285.1999999999998</v>
      </c>
      <c r="T356">
        <v>106</v>
      </c>
      <c r="U356">
        <v>16648.28</v>
      </c>
      <c r="V356">
        <v>3366.93</v>
      </c>
      <c r="W356">
        <v>13281.35</v>
      </c>
      <c r="X356">
        <v>4039.8</v>
      </c>
      <c r="Y356" t="s">
        <v>83</v>
      </c>
      <c r="Z356">
        <v>13711.199999999999</v>
      </c>
      <c r="AA356">
        <v>4755.4799999999996</v>
      </c>
    </row>
    <row r="357" spans="1:27" x14ac:dyDescent="0.3">
      <c r="A357" t="s">
        <v>896</v>
      </c>
      <c r="B357" s="1">
        <v>45083</v>
      </c>
      <c r="C357" t="s">
        <v>693</v>
      </c>
      <c r="D357" t="s">
        <v>89</v>
      </c>
      <c r="E357">
        <v>1</v>
      </c>
      <c r="F357" t="s">
        <v>90</v>
      </c>
      <c r="G357">
        <v>12</v>
      </c>
      <c r="H357" t="s">
        <v>694</v>
      </c>
      <c r="I357" t="s">
        <v>30</v>
      </c>
      <c r="J357">
        <v>47</v>
      </c>
      <c r="K357" t="s">
        <v>155</v>
      </c>
      <c r="L357" t="s">
        <v>108</v>
      </c>
      <c r="M357" s="1">
        <v>45417</v>
      </c>
      <c r="N357" t="s">
        <v>44</v>
      </c>
      <c r="O357" t="s">
        <v>93</v>
      </c>
      <c r="P357" t="s">
        <v>94</v>
      </c>
      <c r="Q357" t="s">
        <v>46</v>
      </c>
      <c r="R357">
        <v>1290.44</v>
      </c>
      <c r="S357">
        <v>1756.94</v>
      </c>
      <c r="T357">
        <v>226</v>
      </c>
      <c r="U357">
        <v>18450.18</v>
      </c>
      <c r="V357">
        <v>2088.39</v>
      </c>
      <c r="W357">
        <v>16361.79</v>
      </c>
      <c r="X357">
        <v>2667.61</v>
      </c>
      <c r="Y357" t="s">
        <v>83</v>
      </c>
      <c r="Z357">
        <v>1756.94</v>
      </c>
      <c r="AA357">
        <v>466.5</v>
      </c>
    </row>
    <row r="358" spans="1:27" x14ac:dyDescent="0.3">
      <c r="A358" t="s">
        <v>897</v>
      </c>
      <c r="B358" s="1">
        <v>44980</v>
      </c>
      <c r="C358" t="s">
        <v>887</v>
      </c>
      <c r="D358" t="s">
        <v>420</v>
      </c>
      <c r="E358">
        <v>4</v>
      </c>
      <c r="F358" t="s">
        <v>51</v>
      </c>
      <c r="G358">
        <v>22</v>
      </c>
      <c r="H358" t="s">
        <v>888</v>
      </c>
      <c r="I358" t="s">
        <v>30</v>
      </c>
      <c r="J358">
        <v>41</v>
      </c>
      <c r="K358" t="s">
        <v>92</v>
      </c>
      <c r="L358" t="s">
        <v>53</v>
      </c>
      <c r="M358" s="1">
        <v>45514</v>
      </c>
      <c r="N358" t="s">
        <v>54</v>
      </c>
      <c r="O358" t="s">
        <v>422</v>
      </c>
      <c r="P358" t="s">
        <v>110</v>
      </c>
      <c r="Q358" t="s">
        <v>46</v>
      </c>
      <c r="R358">
        <v>2369.11</v>
      </c>
      <c r="S358">
        <v>2775.74</v>
      </c>
      <c r="T358">
        <v>21</v>
      </c>
      <c r="U358">
        <v>18361.88</v>
      </c>
      <c r="V358">
        <v>2847.06</v>
      </c>
      <c r="W358">
        <v>15514.82</v>
      </c>
      <c r="X358">
        <v>349.69</v>
      </c>
      <c r="Y358" t="s">
        <v>47</v>
      </c>
      <c r="Z358">
        <v>11102.96</v>
      </c>
      <c r="AA358">
        <v>1626.5199999999986</v>
      </c>
    </row>
    <row r="359" spans="1:27" x14ac:dyDescent="0.3">
      <c r="A359" t="s">
        <v>898</v>
      </c>
      <c r="B359" s="1">
        <v>45086</v>
      </c>
      <c r="C359" t="s">
        <v>864</v>
      </c>
      <c r="D359" t="s">
        <v>393</v>
      </c>
      <c r="E359">
        <v>1</v>
      </c>
      <c r="F359" t="s">
        <v>90</v>
      </c>
      <c r="G359">
        <v>23</v>
      </c>
      <c r="H359" t="s">
        <v>865</v>
      </c>
      <c r="I359" t="s">
        <v>80</v>
      </c>
      <c r="J359">
        <v>38</v>
      </c>
      <c r="K359" t="s">
        <v>65</v>
      </c>
      <c r="L359" t="s">
        <v>81</v>
      </c>
      <c r="M359" s="1">
        <v>44677</v>
      </c>
      <c r="N359" t="s">
        <v>33</v>
      </c>
      <c r="O359" t="s">
        <v>395</v>
      </c>
      <c r="P359" t="s">
        <v>35</v>
      </c>
      <c r="Q359" t="s">
        <v>111</v>
      </c>
      <c r="R359">
        <v>4793.34</v>
      </c>
      <c r="S359">
        <v>7058.65</v>
      </c>
      <c r="T359">
        <v>107</v>
      </c>
      <c r="U359">
        <v>12827.24</v>
      </c>
      <c r="V359">
        <v>1470.53</v>
      </c>
      <c r="W359">
        <v>11356.71</v>
      </c>
      <c r="X359">
        <v>1600.53</v>
      </c>
      <c r="Y359" t="s">
        <v>83</v>
      </c>
      <c r="Z359">
        <v>7058.65</v>
      </c>
      <c r="AA359">
        <v>2265.3099999999995</v>
      </c>
    </row>
    <row r="360" spans="1:27" x14ac:dyDescent="0.3">
      <c r="A360" t="s">
        <v>899</v>
      </c>
      <c r="B360" s="1">
        <v>45191</v>
      </c>
      <c r="C360" t="s">
        <v>187</v>
      </c>
      <c r="D360" t="s">
        <v>428</v>
      </c>
      <c r="E360">
        <v>1</v>
      </c>
      <c r="F360" t="s">
        <v>78</v>
      </c>
      <c r="G360">
        <v>17</v>
      </c>
      <c r="H360" t="s">
        <v>188</v>
      </c>
      <c r="I360" t="s">
        <v>80</v>
      </c>
      <c r="J360">
        <v>35</v>
      </c>
      <c r="K360" t="s">
        <v>60</v>
      </c>
      <c r="L360" t="s">
        <v>53</v>
      </c>
      <c r="M360" s="1">
        <v>45052</v>
      </c>
      <c r="N360" t="s">
        <v>44</v>
      </c>
      <c r="O360" t="s">
        <v>429</v>
      </c>
      <c r="P360" t="s">
        <v>110</v>
      </c>
      <c r="Q360" t="s">
        <v>46</v>
      </c>
      <c r="R360">
        <v>929.24</v>
      </c>
      <c r="S360">
        <v>1350.29</v>
      </c>
      <c r="T360">
        <v>22</v>
      </c>
      <c r="U360">
        <v>9833.33</v>
      </c>
      <c r="V360">
        <v>861</v>
      </c>
      <c r="W360">
        <v>8972.33</v>
      </c>
      <c r="X360">
        <v>1543.99</v>
      </c>
      <c r="Y360" t="s">
        <v>83</v>
      </c>
      <c r="Z360">
        <v>1350.29</v>
      </c>
      <c r="AA360">
        <v>421.04999999999995</v>
      </c>
    </row>
    <row r="361" spans="1:27" x14ac:dyDescent="0.3">
      <c r="A361" t="s">
        <v>900</v>
      </c>
      <c r="B361" s="1">
        <v>45233</v>
      </c>
      <c r="C361" t="s">
        <v>588</v>
      </c>
      <c r="D361" t="s">
        <v>408</v>
      </c>
      <c r="E361">
        <v>3</v>
      </c>
      <c r="F361" t="s">
        <v>51</v>
      </c>
      <c r="G361">
        <v>7</v>
      </c>
      <c r="H361" t="s">
        <v>589</v>
      </c>
      <c r="I361" t="s">
        <v>30</v>
      </c>
      <c r="J361">
        <v>27</v>
      </c>
      <c r="K361" t="s">
        <v>42</v>
      </c>
      <c r="L361" t="s">
        <v>43</v>
      </c>
      <c r="M361" s="1">
        <v>44991</v>
      </c>
      <c r="N361" t="s">
        <v>33</v>
      </c>
      <c r="O361" t="s">
        <v>410</v>
      </c>
      <c r="P361" t="s">
        <v>68</v>
      </c>
      <c r="Q361" t="s">
        <v>46</v>
      </c>
      <c r="R361">
        <v>2025.88</v>
      </c>
      <c r="S361">
        <v>2513.29</v>
      </c>
      <c r="T361">
        <v>67</v>
      </c>
      <c r="U361">
        <v>5171.6099999999997</v>
      </c>
      <c r="V361">
        <v>316.02</v>
      </c>
      <c r="W361">
        <v>4855.59</v>
      </c>
      <c r="X361">
        <v>4026.96</v>
      </c>
      <c r="Y361" t="s">
        <v>47</v>
      </c>
      <c r="Z361">
        <v>7539.87</v>
      </c>
      <c r="AA361">
        <v>1462.2299999999996</v>
      </c>
    </row>
    <row r="362" spans="1:27" x14ac:dyDescent="0.3">
      <c r="A362" t="s">
        <v>901</v>
      </c>
      <c r="B362" s="1">
        <v>45033</v>
      </c>
      <c r="C362" t="s">
        <v>240</v>
      </c>
      <c r="D362" t="s">
        <v>393</v>
      </c>
      <c r="E362">
        <v>6</v>
      </c>
      <c r="F362" t="s">
        <v>51</v>
      </c>
      <c r="G362">
        <v>2</v>
      </c>
      <c r="H362" t="s">
        <v>241</v>
      </c>
      <c r="I362" t="s">
        <v>30</v>
      </c>
      <c r="J362">
        <v>22</v>
      </c>
      <c r="K362" t="s">
        <v>155</v>
      </c>
      <c r="L362" t="s">
        <v>108</v>
      </c>
      <c r="M362" s="1">
        <v>45190</v>
      </c>
      <c r="N362" t="s">
        <v>33</v>
      </c>
      <c r="O362" t="s">
        <v>395</v>
      </c>
      <c r="P362" t="s">
        <v>35</v>
      </c>
      <c r="Q362" t="s">
        <v>111</v>
      </c>
      <c r="R362">
        <v>4793.34</v>
      </c>
      <c r="S362">
        <v>7058.65</v>
      </c>
      <c r="T362">
        <v>107</v>
      </c>
      <c r="U362">
        <v>7759.32</v>
      </c>
      <c r="V362">
        <v>1514.28</v>
      </c>
      <c r="W362">
        <v>6245.04</v>
      </c>
      <c r="X362">
        <v>712.79</v>
      </c>
      <c r="Y362" t="s">
        <v>83</v>
      </c>
      <c r="Z362">
        <v>42351.899999999994</v>
      </c>
      <c r="AA362">
        <v>13591.859999999997</v>
      </c>
    </row>
    <row r="363" spans="1:27" x14ac:dyDescent="0.3">
      <c r="A363" t="s">
        <v>902</v>
      </c>
      <c r="B363" s="1">
        <v>45190</v>
      </c>
      <c r="C363" t="s">
        <v>649</v>
      </c>
      <c r="D363" t="s">
        <v>98</v>
      </c>
      <c r="E363">
        <v>4</v>
      </c>
      <c r="F363" t="s">
        <v>78</v>
      </c>
      <c r="G363">
        <v>24</v>
      </c>
      <c r="H363" t="s">
        <v>651</v>
      </c>
      <c r="I363" t="s">
        <v>80</v>
      </c>
      <c r="J363">
        <v>21</v>
      </c>
      <c r="K363" t="s">
        <v>92</v>
      </c>
      <c r="L363" t="s">
        <v>81</v>
      </c>
      <c r="M363" s="1">
        <v>45497</v>
      </c>
      <c r="N363" t="s">
        <v>33</v>
      </c>
      <c r="O363" t="s">
        <v>100</v>
      </c>
      <c r="P363" t="s">
        <v>94</v>
      </c>
      <c r="Q363" t="s">
        <v>36</v>
      </c>
      <c r="R363">
        <v>4225.4799999999996</v>
      </c>
      <c r="S363">
        <v>6100.15</v>
      </c>
      <c r="T363">
        <v>279</v>
      </c>
      <c r="U363">
        <v>17063.09</v>
      </c>
      <c r="V363">
        <v>2034.31</v>
      </c>
      <c r="W363">
        <v>15028.78</v>
      </c>
      <c r="X363">
        <v>650.72</v>
      </c>
      <c r="Y363" t="s">
        <v>37</v>
      </c>
      <c r="Z363">
        <v>24400.6</v>
      </c>
      <c r="AA363">
        <v>7498.68</v>
      </c>
    </row>
    <row r="364" spans="1:27" x14ac:dyDescent="0.3">
      <c r="A364" t="s">
        <v>903</v>
      </c>
      <c r="B364" s="1">
        <v>44943</v>
      </c>
      <c r="C364" t="s">
        <v>332</v>
      </c>
      <c r="D364" t="s">
        <v>230</v>
      </c>
      <c r="E364">
        <v>5</v>
      </c>
      <c r="F364" t="s">
        <v>28</v>
      </c>
      <c r="G364">
        <v>14</v>
      </c>
      <c r="H364" t="s">
        <v>333</v>
      </c>
      <c r="I364" t="s">
        <v>30</v>
      </c>
      <c r="J364">
        <v>20</v>
      </c>
      <c r="K364" t="s">
        <v>92</v>
      </c>
      <c r="L364" t="s">
        <v>32</v>
      </c>
      <c r="M364" s="1">
        <v>44792</v>
      </c>
      <c r="N364" t="s">
        <v>54</v>
      </c>
      <c r="O364" t="s">
        <v>232</v>
      </c>
      <c r="P364" t="s">
        <v>110</v>
      </c>
      <c r="Q364" t="s">
        <v>46</v>
      </c>
      <c r="R364">
        <v>4570.75</v>
      </c>
      <c r="S364">
        <v>5891.26</v>
      </c>
      <c r="T364">
        <v>285</v>
      </c>
      <c r="U364">
        <v>18171.27</v>
      </c>
      <c r="V364">
        <v>4489.4799999999996</v>
      </c>
      <c r="W364">
        <v>13681.79</v>
      </c>
      <c r="X364">
        <v>990.1</v>
      </c>
      <c r="Y364" t="s">
        <v>56</v>
      </c>
      <c r="Z364">
        <v>29456.300000000003</v>
      </c>
      <c r="AA364">
        <v>6602.5500000000011</v>
      </c>
    </row>
    <row r="365" spans="1:27" x14ac:dyDescent="0.3">
      <c r="A365" t="s">
        <v>904</v>
      </c>
      <c r="B365" s="1">
        <v>45284</v>
      </c>
      <c r="C365" t="s">
        <v>492</v>
      </c>
      <c r="D365" t="s">
        <v>679</v>
      </c>
      <c r="E365">
        <v>3</v>
      </c>
      <c r="F365" t="s">
        <v>90</v>
      </c>
      <c r="G365">
        <v>5</v>
      </c>
      <c r="H365" t="s">
        <v>493</v>
      </c>
      <c r="I365" t="s">
        <v>30</v>
      </c>
      <c r="J365">
        <v>44</v>
      </c>
      <c r="K365" t="s">
        <v>60</v>
      </c>
      <c r="L365" t="s">
        <v>53</v>
      </c>
      <c r="M365" s="1">
        <v>44792</v>
      </c>
      <c r="N365" t="s">
        <v>54</v>
      </c>
      <c r="O365" t="s">
        <v>681</v>
      </c>
      <c r="P365" t="s">
        <v>35</v>
      </c>
      <c r="Q365" t="s">
        <v>46</v>
      </c>
      <c r="R365">
        <v>2024.37</v>
      </c>
      <c r="S365">
        <v>2982.78</v>
      </c>
      <c r="T365">
        <v>11</v>
      </c>
      <c r="U365">
        <v>6789.06</v>
      </c>
      <c r="V365">
        <v>411.34</v>
      </c>
      <c r="W365">
        <v>6377.72</v>
      </c>
      <c r="X365">
        <v>2708.19</v>
      </c>
      <c r="Y365" t="s">
        <v>83</v>
      </c>
      <c r="Z365">
        <v>8948.34</v>
      </c>
      <c r="AA365">
        <v>2875.2300000000009</v>
      </c>
    </row>
    <row r="366" spans="1:27" x14ac:dyDescent="0.3">
      <c r="A366" t="s">
        <v>905</v>
      </c>
      <c r="B366" s="1">
        <v>45160</v>
      </c>
      <c r="C366" t="s">
        <v>365</v>
      </c>
      <c r="D366" t="s">
        <v>226</v>
      </c>
      <c r="E366">
        <v>1</v>
      </c>
      <c r="F366" t="s">
        <v>90</v>
      </c>
      <c r="G366">
        <v>0</v>
      </c>
      <c r="H366" t="s">
        <v>366</v>
      </c>
      <c r="I366" t="s">
        <v>80</v>
      </c>
      <c r="J366">
        <v>50</v>
      </c>
      <c r="K366" t="s">
        <v>65</v>
      </c>
      <c r="L366" t="s">
        <v>66</v>
      </c>
      <c r="M366" s="1">
        <v>45739</v>
      </c>
      <c r="N366" t="s">
        <v>44</v>
      </c>
      <c r="O366" t="s">
        <v>227</v>
      </c>
      <c r="P366" t="s">
        <v>35</v>
      </c>
      <c r="Q366" t="s">
        <v>111</v>
      </c>
      <c r="R366">
        <v>762.02</v>
      </c>
      <c r="S366">
        <v>1161.9100000000001</v>
      </c>
      <c r="T366">
        <v>293</v>
      </c>
      <c r="U366">
        <v>9330.93</v>
      </c>
      <c r="V366">
        <v>1255.94</v>
      </c>
      <c r="W366">
        <v>8074.99</v>
      </c>
      <c r="X366">
        <v>3219.97</v>
      </c>
      <c r="Y366" t="s">
        <v>83</v>
      </c>
      <c r="Z366">
        <v>1161.9100000000001</v>
      </c>
      <c r="AA366">
        <v>399.8900000000001</v>
      </c>
    </row>
    <row r="367" spans="1:27" x14ac:dyDescent="0.3">
      <c r="A367" t="s">
        <v>906</v>
      </c>
      <c r="B367" s="1">
        <v>45033</v>
      </c>
      <c r="C367" t="s">
        <v>196</v>
      </c>
      <c r="D367" t="s">
        <v>329</v>
      </c>
      <c r="E367">
        <v>4</v>
      </c>
      <c r="F367" t="s">
        <v>78</v>
      </c>
      <c r="G367">
        <v>23</v>
      </c>
      <c r="H367" t="s">
        <v>198</v>
      </c>
      <c r="I367" t="s">
        <v>30</v>
      </c>
      <c r="J367">
        <v>37</v>
      </c>
      <c r="K367" t="s">
        <v>65</v>
      </c>
      <c r="L367" t="s">
        <v>53</v>
      </c>
      <c r="M367" s="1">
        <v>45436</v>
      </c>
      <c r="N367" t="s">
        <v>33</v>
      </c>
      <c r="O367" t="s">
        <v>330</v>
      </c>
      <c r="P367" t="s">
        <v>94</v>
      </c>
      <c r="Q367" t="s">
        <v>46</v>
      </c>
      <c r="R367">
        <v>3358.26</v>
      </c>
      <c r="S367">
        <v>4345.1099999999997</v>
      </c>
      <c r="T367">
        <v>179</v>
      </c>
      <c r="U367">
        <v>11477.94</v>
      </c>
      <c r="V367">
        <v>2501.91</v>
      </c>
      <c r="W367">
        <v>8976.0300000000007</v>
      </c>
      <c r="X367">
        <v>1153.58</v>
      </c>
      <c r="Y367" t="s">
        <v>47</v>
      </c>
      <c r="Z367">
        <v>17380.439999999999</v>
      </c>
      <c r="AA367">
        <v>3947.3999999999978</v>
      </c>
    </row>
    <row r="368" spans="1:27" x14ac:dyDescent="0.3">
      <c r="A368" t="s">
        <v>907</v>
      </c>
      <c r="B368" s="1">
        <v>45256</v>
      </c>
      <c r="C368" t="s">
        <v>636</v>
      </c>
      <c r="D368" t="s">
        <v>117</v>
      </c>
      <c r="E368">
        <v>6</v>
      </c>
      <c r="F368" t="s">
        <v>90</v>
      </c>
      <c r="G368">
        <v>2</v>
      </c>
      <c r="H368" t="s">
        <v>637</v>
      </c>
      <c r="I368" t="s">
        <v>30</v>
      </c>
      <c r="J368">
        <v>46</v>
      </c>
      <c r="K368" t="s">
        <v>155</v>
      </c>
      <c r="L368" t="s">
        <v>53</v>
      </c>
      <c r="M368" s="1">
        <v>44749</v>
      </c>
      <c r="N368" t="s">
        <v>44</v>
      </c>
      <c r="O368" t="s">
        <v>119</v>
      </c>
      <c r="P368" t="s">
        <v>110</v>
      </c>
      <c r="Q368" t="s">
        <v>120</v>
      </c>
      <c r="R368">
        <v>1390.81</v>
      </c>
      <c r="S368">
        <v>1874.61</v>
      </c>
      <c r="T368">
        <v>262</v>
      </c>
      <c r="U368">
        <v>12219</v>
      </c>
      <c r="V368">
        <v>1617.28</v>
      </c>
      <c r="W368">
        <v>10601.72</v>
      </c>
      <c r="X368">
        <v>4534.41</v>
      </c>
      <c r="Y368" t="s">
        <v>83</v>
      </c>
      <c r="Z368">
        <v>11247.66</v>
      </c>
      <c r="AA368">
        <v>2902.7999999999997</v>
      </c>
    </row>
    <row r="369" spans="1:27" x14ac:dyDescent="0.3">
      <c r="A369" t="s">
        <v>908</v>
      </c>
      <c r="B369" s="1">
        <v>45173</v>
      </c>
      <c r="C369" t="s">
        <v>149</v>
      </c>
      <c r="D369" t="s">
        <v>27</v>
      </c>
      <c r="E369">
        <v>5</v>
      </c>
      <c r="F369" t="s">
        <v>78</v>
      </c>
      <c r="G369">
        <v>5</v>
      </c>
      <c r="H369" t="s">
        <v>150</v>
      </c>
      <c r="I369" t="s">
        <v>30</v>
      </c>
      <c r="J369">
        <v>44</v>
      </c>
      <c r="K369" t="s">
        <v>73</v>
      </c>
      <c r="L369" t="s">
        <v>81</v>
      </c>
      <c r="M369" s="1">
        <v>44918</v>
      </c>
      <c r="N369" t="s">
        <v>33</v>
      </c>
      <c r="O369" t="s">
        <v>34</v>
      </c>
      <c r="P369" t="s">
        <v>35</v>
      </c>
      <c r="Q369" t="s">
        <v>36</v>
      </c>
      <c r="R369">
        <v>4318.8599999999997</v>
      </c>
      <c r="S369">
        <v>4880.6400000000003</v>
      </c>
      <c r="T369">
        <v>149</v>
      </c>
      <c r="U369">
        <v>10171.35</v>
      </c>
      <c r="V369">
        <v>792.01</v>
      </c>
      <c r="W369">
        <v>9379.34</v>
      </c>
      <c r="X369">
        <v>3242.62</v>
      </c>
      <c r="Y369" t="s">
        <v>37</v>
      </c>
      <c r="Z369">
        <v>24403.200000000001</v>
      </c>
      <c r="AA369">
        <v>2808.9000000000033</v>
      </c>
    </row>
    <row r="370" spans="1:27" x14ac:dyDescent="0.3">
      <c r="A370" t="s">
        <v>909</v>
      </c>
      <c r="B370" s="1">
        <v>44946</v>
      </c>
      <c r="C370" t="s">
        <v>878</v>
      </c>
      <c r="D370" t="s">
        <v>428</v>
      </c>
      <c r="E370">
        <v>2</v>
      </c>
      <c r="F370" t="s">
        <v>51</v>
      </c>
      <c r="G370">
        <v>20</v>
      </c>
      <c r="H370" t="s">
        <v>879</v>
      </c>
      <c r="I370" t="s">
        <v>80</v>
      </c>
      <c r="J370">
        <v>43</v>
      </c>
      <c r="K370" t="s">
        <v>155</v>
      </c>
      <c r="L370" t="s">
        <v>43</v>
      </c>
      <c r="M370" s="1">
        <v>45272</v>
      </c>
      <c r="N370" t="s">
        <v>33</v>
      </c>
      <c r="O370" t="s">
        <v>429</v>
      </c>
      <c r="P370" t="s">
        <v>110</v>
      </c>
      <c r="Q370" t="s">
        <v>46</v>
      </c>
      <c r="R370">
        <v>929.24</v>
      </c>
      <c r="S370">
        <v>1350.29</v>
      </c>
      <c r="T370">
        <v>22</v>
      </c>
      <c r="U370">
        <v>5689.48</v>
      </c>
      <c r="V370">
        <v>891.02</v>
      </c>
      <c r="W370">
        <v>4798.46</v>
      </c>
      <c r="X370">
        <v>2268.0300000000002</v>
      </c>
      <c r="Y370" t="s">
        <v>37</v>
      </c>
      <c r="Z370">
        <v>2700.58</v>
      </c>
      <c r="AA370">
        <v>842.09999999999991</v>
      </c>
    </row>
    <row r="371" spans="1:27" x14ac:dyDescent="0.3">
      <c r="A371" t="s">
        <v>910</v>
      </c>
      <c r="B371" s="1">
        <v>44930</v>
      </c>
      <c r="C371" t="s">
        <v>642</v>
      </c>
      <c r="D371" t="s">
        <v>89</v>
      </c>
      <c r="E371">
        <v>3</v>
      </c>
      <c r="F371" t="s">
        <v>51</v>
      </c>
      <c r="G371">
        <v>16</v>
      </c>
      <c r="H371" t="s">
        <v>643</v>
      </c>
      <c r="I371" t="s">
        <v>30</v>
      </c>
      <c r="J371">
        <v>53</v>
      </c>
      <c r="K371" t="s">
        <v>155</v>
      </c>
      <c r="L371" t="s">
        <v>81</v>
      </c>
      <c r="M371" s="1">
        <v>45242</v>
      </c>
      <c r="N371" t="s">
        <v>44</v>
      </c>
      <c r="O371" t="s">
        <v>93</v>
      </c>
      <c r="P371" t="s">
        <v>94</v>
      </c>
      <c r="Q371" t="s">
        <v>46</v>
      </c>
      <c r="R371">
        <v>1290.44</v>
      </c>
      <c r="S371">
        <v>1756.94</v>
      </c>
      <c r="T371">
        <v>226</v>
      </c>
      <c r="U371">
        <v>9921.24</v>
      </c>
      <c r="V371">
        <v>1833.49</v>
      </c>
      <c r="W371">
        <v>8087.75</v>
      </c>
      <c r="X371">
        <v>4186.22</v>
      </c>
      <c r="Y371" t="s">
        <v>56</v>
      </c>
      <c r="Z371">
        <v>5270.82</v>
      </c>
      <c r="AA371">
        <v>1399.5</v>
      </c>
    </row>
    <row r="372" spans="1:27" x14ac:dyDescent="0.3">
      <c r="A372" t="s">
        <v>911</v>
      </c>
      <c r="B372" s="1">
        <v>45185</v>
      </c>
      <c r="C372" t="s">
        <v>658</v>
      </c>
      <c r="D372" t="s">
        <v>125</v>
      </c>
      <c r="E372">
        <v>3</v>
      </c>
      <c r="F372" t="s">
        <v>90</v>
      </c>
      <c r="G372">
        <v>2</v>
      </c>
      <c r="H372" t="s">
        <v>659</v>
      </c>
      <c r="I372" t="s">
        <v>80</v>
      </c>
      <c r="J372">
        <v>45</v>
      </c>
      <c r="K372" t="s">
        <v>42</v>
      </c>
      <c r="L372" t="s">
        <v>53</v>
      </c>
      <c r="M372" s="1">
        <v>44838</v>
      </c>
      <c r="N372" t="s">
        <v>54</v>
      </c>
      <c r="O372" t="s">
        <v>126</v>
      </c>
      <c r="P372" t="s">
        <v>68</v>
      </c>
      <c r="Q372" t="s">
        <v>120</v>
      </c>
      <c r="R372">
        <v>4301.32</v>
      </c>
      <c r="S372">
        <v>6870.07</v>
      </c>
      <c r="T372">
        <v>243</v>
      </c>
      <c r="U372">
        <v>11828.18</v>
      </c>
      <c r="V372">
        <v>2611.52</v>
      </c>
      <c r="W372">
        <v>9216.66</v>
      </c>
      <c r="X372">
        <v>2380.61</v>
      </c>
      <c r="Y372" t="s">
        <v>56</v>
      </c>
      <c r="Z372">
        <v>20610.21</v>
      </c>
      <c r="AA372">
        <v>7706.25</v>
      </c>
    </row>
    <row r="373" spans="1:27" x14ac:dyDescent="0.3">
      <c r="A373" t="s">
        <v>912</v>
      </c>
      <c r="B373" s="1">
        <v>45139</v>
      </c>
      <c r="C373" t="s">
        <v>459</v>
      </c>
      <c r="D373" t="s">
        <v>125</v>
      </c>
      <c r="E373">
        <v>1</v>
      </c>
      <c r="F373" t="s">
        <v>90</v>
      </c>
      <c r="G373">
        <v>24</v>
      </c>
      <c r="H373" t="s">
        <v>460</v>
      </c>
      <c r="I373" t="s">
        <v>80</v>
      </c>
      <c r="J373">
        <v>47</v>
      </c>
      <c r="K373" t="s">
        <v>92</v>
      </c>
      <c r="L373" t="s">
        <v>32</v>
      </c>
      <c r="M373" s="1">
        <v>44764</v>
      </c>
      <c r="N373" t="s">
        <v>44</v>
      </c>
      <c r="O373" t="s">
        <v>126</v>
      </c>
      <c r="P373" t="s">
        <v>68</v>
      </c>
      <c r="Q373" t="s">
        <v>120</v>
      </c>
      <c r="R373">
        <v>4301.32</v>
      </c>
      <c r="S373">
        <v>6870.07</v>
      </c>
      <c r="T373">
        <v>243</v>
      </c>
      <c r="U373">
        <v>6272.48</v>
      </c>
      <c r="V373">
        <v>1238.55</v>
      </c>
      <c r="W373">
        <v>5033.93</v>
      </c>
      <c r="X373">
        <v>1633.83</v>
      </c>
      <c r="Y373" t="s">
        <v>56</v>
      </c>
      <c r="Z373">
        <v>6870.07</v>
      </c>
      <c r="AA373">
        <v>2568.75</v>
      </c>
    </row>
    <row r="374" spans="1:27" x14ac:dyDescent="0.3">
      <c r="A374" t="s">
        <v>913</v>
      </c>
      <c r="B374" s="1">
        <v>45151</v>
      </c>
      <c r="C374" t="s">
        <v>914</v>
      </c>
      <c r="D374" t="s">
        <v>315</v>
      </c>
      <c r="E374">
        <v>5</v>
      </c>
      <c r="F374" t="s">
        <v>51</v>
      </c>
      <c r="G374">
        <v>16</v>
      </c>
      <c r="H374" t="s">
        <v>915</v>
      </c>
      <c r="I374" t="s">
        <v>80</v>
      </c>
      <c r="J374">
        <v>22</v>
      </c>
      <c r="K374" t="s">
        <v>65</v>
      </c>
      <c r="L374" t="s">
        <v>32</v>
      </c>
      <c r="M374" s="1">
        <v>44723</v>
      </c>
      <c r="N374" t="s">
        <v>54</v>
      </c>
      <c r="O374" t="s">
        <v>316</v>
      </c>
      <c r="P374" t="s">
        <v>110</v>
      </c>
      <c r="Q374" t="s">
        <v>120</v>
      </c>
      <c r="R374">
        <v>2359.8000000000002</v>
      </c>
      <c r="S374">
        <v>2910.71</v>
      </c>
      <c r="T374">
        <v>211</v>
      </c>
      <c r="U374">
        <v>12454.04</v>
      </c>
      <c r="V374">
        <v>3041.37</v>
      </c>
      <c r="W374">
        <v>9412.67</v>
      </c>
      <c r="X374">
        <v>1182.23</v>
      </c>
      <c r="Y374" t="s">
        <v>56</v>
      </c>
      <c r="Z374">
        <v>14553.55</v>
      </c>
      <c r="AA374">
        <v>2754.5499999999993</v>
      </c>
    </row>
    <row r="375" spans="1:27" x14ac:dyDescent="0.3">
      <c r="A375" t="s">
        <v>916</v>
      </c>
      <c r="B375" s="1">
        <v>45286</v>
      </c>
      <c r="C375" t="s">
        <v>524</v>
      </c>
      <c r="D375" t="s">
        <v>399</v>
      </c>
      <c r="E375">
        <v>3</v>
      </c>
      <c r="F375" t="s">
        <v>78</v>
      </c>
      <c r="G375">
        <v>21</v>
      </c>
      <c r="H375" t="s">
        <v>525</v>
      </c>
      <c r="I375" t="s">
        <v>80</v>
      </c>
      <c r="J375">
        <v>31</v>
      </c>
      <c r="K375" t="s">
        <v>65</v>
      </c>
      <c r="L375" t="s">
        <v>108</v>
      </c>
      <c r="M375" s="1">
        <v>45389</v>
      </c>
      <c r="N375" t="s">
        <v>44</v>
      </c>
      <c r="O375" t="s">
        <v>400</v>
      </c>
      <c r="P375" t="s">
        <v>94</v>
      </c>
      <c r="Q375" t="s">
        <v>46</v>
      </c>
      <c r="R375">
        <v>828.79</v>
      </c>
      <c r="S375">
        <v>1227.1300000000001</v>
      </c>
      <c r="T375">
        <v>228</v>
      </c>
      <c r="U375">
        <v>5947.43</v>
      </c>
      <c r="V375">
        <v>1328.15</v>
      </c>
      <c r="W375">
        <v>4619.28</v>
      </c>
      <c r="X375">
        <v>899.27</v>
      </c>
      <c r="Y375" t="s">
        <v>56</v>
      </c>
      <c r="Z375">
        <v>3681.3900000000003</v>
      </c>
      <c r="AA375">
        <v>1195.0200000000004</v>
      </c>
    </row>
    <row r="376" spans="1:27" x14ac:dyDescent="0.3">
      <c r="A376" t="s">
        <v>917</v>
      </c>
      <c r="B376" s="1">
        <v>45065</v>
      </c>
      <c r="C376" t="s">
        <v>309</v>
      </c>
      <c r="D376" t="s">
        <v>89</v>
      </c>
      <c r="E376">
        <v>5</v>
      </c>
      <c r="F376" t="s">
        <v>90</v>
      </c>
      <c r="G376">
        <v>11</v>
      </c>
      <c r="H376" t="s">
        <v>310</v>
      </c>
      <c r="I376" t="s">
        <v>80</v>
      </c>
      <c r="J376">
        <v>37</v>
      </c>
      <c r="K376" t="s">
        <v>60</v>
      </c>
      <c r="L376" t="s">
        <v>53</v>
      </c>
      <c r="M376" s="1">
        <v>45270</v>
      </c>
      <c r="N376" t="s">
        <v>44</v>
      </c>
      <c r="O376" t="s">
        <v>93</v>
      </c>
      <c r="P376" t="s">
        <v>94</v>
      </c>
      <c r="Q376" t="s">
        <v>46</v>
      </c>
      <c r="R376">
        <v>1290.44</v>
      </c>
      <c r="S376">
        <v>1756.94</v>
      </c>
      <c r="T376">
        <v>226</v>
      </c>
      <c r="U376">
        <v>6256.88</v>
      </c>
      <c r="V376">
        <v>295.56</v>
      </c>
      <c r="W376">
        <v>5961.32</v>
      </c>
      <c r="X376">
        <v>4540.95</v>
      </c>
      <c r="Y376" t="s">
        <v>47</v>
      </c>
      <c r="Z376">
        <v>8784.7000000000007</v>
      </c>
      <c r="AA376">
        <v>2332.5</v>
      </c>
    </row>
    <row r="377" spans="1:27" x14ac:dyDescent="0.3">
      <c r="A377" t="s">
        <v>918</v>
      </c>
      <c r="B377" s="1">
        <v>44943</v>
      </c>
      <c r="C377" t="s">
        <v>535</v>
      </c>
      <c r="D377" t="s">
        <v>63</v>
      </c>
      <c r="E377">
        <v>6</v>
      </c>
      <c r="F377" t="s">
        <v>51</v>
      </c>
      <c r="G377">
        <v>16</v>
      </c>
      <c r="H377" t="s">
        <v>536</v>
      </c>
      <c r="I377" t="s">
        <v>80</v>
      </c>
      <c r="J377">
        <v>30</v>
      </c>
      <c r="K377" t="s">
        <v>42</v>
      </c>
      <c r="L377" t="s">
        <v>81</v>
      </c>
      <c r="M377" s="1">
        <v>44871</v>
      </c>
      <c r="N377" t="s">
        <v>44</v>
      </c>
      <c r="O377" t="s">
        <v>67</v>
      </c>
      <c r="P377" t="s">
        <v>68</v>
      </c>
      <c r="Q377" t="s">
        <v>46</v>
      </c>
      <c r="R377">
        <v>2961.83</v>
      </c>
      <c r="S377">
        <v>4189.8100000000004</v>
      </c>
      <c r="T377">
        <v>165</v>
      </c>
      <c r="U377">
        <v>8427.7199999999993</v>
      </c>
      <c r="V377">
        <v>1845.16</v>
      </c>
      <c r="W377">
        <v>6582.56</v>
      </c>
      <c r="X377">
        <v>4467.6099999999997</v>
      </c>
      <c r="Y377" t="s">
        <v>56</v>
      </c>
      <c r="Z377">
        <v>25138.86</v>
      </c>
      <c r="AA377">
        <v>7367.8800000000028</v>
      </c>
    </row>
    <row r="378" spans="1:27" x14ac:dyDescent="0.3">
      <c r="A378" t="s">
        <v>919</v>
      </c>
      <c r="B378" s="1">
        <v>44994</v>
      </c>
      <c r="C378" t="s">
        <v>481</v>
      </c>
      <c r="D378" t="s">
        <v>269</v>
      </c>
      <c r="E378">
        <v>1</v>
      </c>
      <c r="F378" t="s">
        <v>51</v>
      </c>
      <c r="G378">
        <v>3</v>
      </c>
      <c r="H378" t="s">
        <v>482</v>
      </c>
      <c r="I378" t="s">
        <v>80</v>
      </c>
      <c r="J378">
        <v>25</v>
      </c>
      <c r="K378" t="s">
        <v>53</v>
      </c>
      <c r="L378" t="s">
        <v>108</v>
      </c>
      <c r="M378" s="1">
        <v>45315</v>
      </c>
      <c r="N378" t="s">
        <v>33</v>
      </c>
      <c r="O378" t="s">
        <v>270</v>
      </c>
      <c r="P378" t="s">
        <v>35</v>
      </c>
      <c r="Q378" t="s">
        <v>120</v>
      </c>
      <c r="R378">
        <v>4675.05</v>
      </c>
      <c r="S378">
        <v>5769.35</v>
      </c>
      <c r="T378">
        <v>260</v>
      </c>
      <c r="U378">
        <v>1713.31</v>
      </c>
      <c r="V378">
        <v>408.16</v>
      </c>
      <c r="W378">
        <v>1305.1500000000001</v>
      </c>
      <c r="X378">
        <v>1043.01</v>
      </c>
      <c r="Y378" t="s">
        <v>83</v>
      </c>
      <c r="Z378">
        <v>5769.35</v>
      </c>
      <c r="AA378">
        <v>1094.3000000000002</v>
      </c>
    </row>
    <row r="379" spans="1:27" x14ac:dyDescent="0.3">
      <c r="A379" t="s">
        <v>920</v>
      </c>
      <c r="B379" s="1">
        <v>45122</v>
      </c>
      <c r="C379" t="s">
        <v>921</v>
      </c>
      <c r="D379" t="s">
        <v>471</v>
      </c>
      <c r="E379">
        <v>4</v>
      </c>
      <c r="F379" t="s">
        <v>28</v>
      </c>
      <c r="G379">
        <v>17</v>
      </c>
      <c r="H379" t="s">
        <v>922</v>
      </c>
      <c r="I379" t="s">
        <v>80</v>
      </c>
      <c r="J379">
        <v>36</v>
      </c>
      <c r="K379" t="s">
        <v>53</v>
      </c>
      <c r="L379" t="s">
        <v>66</v>
      </c>
      <c r="M379" s="1">
        <v>44579</v>
      </c>
      <c r="N379" t="s">
        <v>33</v>
      </c>
      <c r="O379" t="s">
        <v>473</v>
      </c>
      <c r="P379" t="s">
        <v>68</v>
      </c>
      <c r="Q379" t="s">
        <v>120</v>
      </c>
      <c r="R379">
        <v>1492.62</v>
      </c>
      <c r="S379">
        <v>2285.1999999999998</v>
      </c>
      <c r="T379">
        <v>106</v>
      </c>
      <c r="U379">
        <v>688.76</v>
      </c>
      <c r="V379">
        <v>69.2</v>
      </c>
      <c r="W379">
        <v>619.55999999999995</v>
      </c>
      <c r="X379">
        <v>4096.8</v>
      </c>
      <c r="Y379" t="s">
        <v>56</v>
      </c>
      <c r="Z379">
        <v>9140.7999999999993</v>
      </c>
      <c r="AA379">
        <v>3170.3199999999997</v>
      </c>
    </row>
    <row r="380" spans="1:27" x14ac:dyDescent="0.3">
      <c r="A380" t="s">
        <v>923</v>
      </c>
      <c r="B380" s="1">
        <v>45149</v>
      </c>
      <c r="C380" t="s">
        <v>834</v>
      </c>
      <c r="D380" t="s">
        <v>197</v>
      </c>
      <c r="E380">
        <v>2</v>
      </c>
      <c r="F380" t="s">
        <v>90</v>
      </c>
      <c r="G380">
        <v>24</v>
      </c>
      <c r="H380" t="s">
        <v>835</v>
      </c>
      <c r="I380" t="s">
        <v>80</v>
      </c>
      <c r="J380">
        <v>45</v>
      </c>
      <c r="K380" t="s">
        <v>42</v>
      </c>
      <c r="L380" t="s">
        <v>32</v>
      </c>
      <c r="M380" s="1">
        <v>44766</v>
      </c>
      <c r="N380" t="s">
        <v>44</v>
      </c>
      <c r="O380" t="s">
        <v>199</v>
      </c>
      <c r="P380" t="s">
        <v>35</v>
      </c>
      <c r="Q380" t="s">
        <v>46</v>
      </c>
      <c r="R380">
        <v>1612.7</v>
      </c>
      <c r="S380">
        <v>1932.63</v>
      </c>
      <c r="T380">
        <v>278</v>
      </c>
      <c r="U380">
        <v>13257.26</v>
      </c>
      <c r="V380">
        <v>3022.71</v>
      </c>
      <c r="W380">
        <v>10234.549999999999</v>
      </c>
      <c r="X380">
        <v>2419.44</v>
      </c>
      <c r="Y380" t="s">
        <v>83</v>
      </c>
      <c r="Z380">
        <v>3865.26</v>
      </c>
      <c r="AA380">
        <v>639.86000000000013</v>
      </c>
    </row>
    <row r="381" spans="1:27" x14ac:dyDescent="0.3">
      <c r="A381" t="s">
        <v>924</v>
      </c>
      <c r="B381" s="1">
        <v>45239</v>
      </c>
      <c r="C381" t="s">
        <v>58</v>
      </c>
      <c r="D381" t="s">
        <v>122</v>
      </c>
      <c r="E381">
        <v>6</v>
      </c>
      <c r="F381" t="s">
        <v>78</v>
      </c>
      <c r="G381">
        <v>24</v>
      </c>
      <c r="H381" t="s">
        <v>59</v>
      </c>
      <c r="I381" t="s">
        <v>30</v>
      </c>
      <c r="J381">
        <v>25</v>
      </c>
      <c r="K381" t="s">
        <v>60</v>
      </c>
      <c r="L381" t="s">
        <v>53</v>
      </c>
      <c r="M381" s="1">
        <v>44898</v>
      </c>
      <c r="N381" t="s">
        <v>44</v>
      </c>
      <c r="O381" t="s">
        <v>123</v>
      </c>
      <c r="P381" t="s">
        <v>68</v>
      </c>
      <c r="Q381" t="s">
        <v>46</v>
      </c>
      <c r="R381">
        <v>1480.33</v>
      </c>
      <c r="S381">
        <v>1709.3</v>
      </c>
      <c r="T381">
        <v>229</v>
      </c>
      <c r="U381">
        <v>13207.18</v>
      </c>
      <c r="V381">
        <v>409.88</v>
      </c>
      <c r="W381">
        <v>12797.3</v>
      </c>
      <c r="X381">
        <v>3654.34</v>
      </c>
      <c r="Y381" t="s">
        <v>56</v>
      </c>
      <c r="Z381">
        <v>10255.799999999999</v>
      </c>
      <c r="AA381">
        <v>1373.8200000000002</v>
      </c>
    </row>
    <row r="382" spans="1:27" x14ac:dyDescent="0.3">
      <c r="A382" t="s">
        <v>925</v>
      </c>
      <c r="B382" s="1">
        <v>45048</v>
      </c>
      <c r="C382" t="s">
        <v>578</v>
      </c>
      <c r="D382" t="s">
        <v>259</v>
      </c>
      <c r="E382">
        <v>6</v>
      </c>
      <c r="F382" t="s">
        <v>28</v>
      </c>
      <c r="G382">
        <v>23</v>
      </c>
      <c r="H382" t="s">
        <v>579</v>
      </c>
      <c r="I382" t="s">
        <v>80</v>
      </c>
      <c r="J382">
        <v>26</v>
      </c>
      <c r="K382" t="s">
        <v>53</v>
      </c>
      <c r="L382" t="s">
        <v>66</v>
      </c>
      <c r="M382" s="1">
        <v>45272</v>
      </c>
      <c r="N382" t="s">
        <v>33</v>
      </c>
      <c r="O382" t="s">
        <v>261</v>
      </c>
      <c r="P382" t="s">
        <v>94</v>
      </c>
      <c r="Q382" t="s">
        <v>111</v>
      </c>
      <c r="R382">
        <v>4426.51</v>
      </c>
      <c r="S382">
        <v>5123.7299999999996</v>
      </c>
      <c r="T382">
        <v>298</v>
      </c>
      <c r="U382">
        <v>15611.63</v>
      </c>
      <c r="V382">
        <v>3882.74</v>
      </c>
      <c r="W382">
        <v>11728.89</v>
      </c>
      <c r="X382">
        <v>4725.1400000000003</v>
      </c>
      <c r="Y382" t="s">
        <v>83</v>
      </c>
      <c r="Z382">
        <v>30742.379999999997</v>
      </c>
      <c r="AA382">
        <v>4183.3199999999961</v>
      </c>
    </row>
    <row r="383" spans="1:27" x14ac:dyDescent="0.3">
      <c r="A383" t="s">
        <v>926</v>
      </c>
      <c r="B383" s="1">
        <v>45219</v>
      </c>
      <c r="C383" t="s">
        <v>487</v>
      </c>
      <c r="D383" t="s">
        <v>259</v>
      </c>
      <c r="E383">
        <v>3</v>
      </c>
      <c r="F383" t="s">
        <v>28</v>
      </c>
      <c r="G383">
        <v>15</v>
      </c>
      <c r="H383" t="s">
        <v>488</v>
      </c>
      <c r="I383" t="s">
        <v>30</v>
      </c>
      <c r="J383">
        <v>41</v>
      </c>
      <c r="K383" t="s">
        <v>155</v>
      </c>
      <c r="L383" t="s">
        <v>53</v>
      </c>
      <c r="M383" s="1">
        <v>44861</v>
      </c>
      <c r="N383" t="s">
        <v>44</v>
      </c>
      <c r="O383" t="s">
        <v>261</v>
      </c>
      <c r="P383" t="s">
        <v>94</v>
      </c>
      <c r="Q383" t="s">
        <v>111</v>
      </c>
      <c r="R383">
        <v>4426.51</v>
      </c>
      <c r="S383">
        <v>5123.7299999999996</v>
      </c>
      <c r="T383">
        <v>298</v>
      </c>
      <c r="U383">
        <v>7410.26</v>
      </c>
      <c r="V383">
        <v>313.48</v>
      </c>
      <c r="W383">
        <v>7096.78</v>
      </c>
      <c r="X383">
        <v>4181.76</v>
      </c>
      <c r="Y383" t="s">
        <v>56</v>
      </c>
      <c r="Z383">
        <v>15371.189999999999</v>
      </c>
      <c r="AA383">
        <v>2091.659999999998</v>
      </c>
    </row>
    <row r="384" spans="1:27" x14ac:dyDescent="0.3">
      <c r="A384" t="s">
        <v>927</v>
      </c>
      <c r="B384" s="1">
        <v>45105</v>
      </c>
      <c r="C384" t="s">
        <v>617</v>
      </c>
      <c r="D384" t="s">
        <v>302</v>
      </c>
      <c r="E384">
        <v>1</v>
      </c>
      <c r="F384" t="s">
        <v>78</v>
      </c>
      <c r="G384">
        <v>11</v>
      </c>
      <c r="H384" t="s">
        <v>618</v>
      </c>
      <c r="I384" t="s">
        <v>30</v>
      </c>
      <c r="J384">
        <v>56</v>
      </c>
      <c r="K384" t="s">
        <v>31</v>
      </c>
      <c r="L384" t="s">
        <v>81</v>
      </c>
      <c r="M384" s="1">
        <v>44749</v>
      </c>
      <c r="N384" t="s">
        <v>44</v>
      </c>
      <c r="O384" t="s">
        <v>304</v>
      </c>
      <c r="P384" t="s">
        <v>68</v>
      </c>
      <c r="Q384" t="s">
        <v>120</v>
      </c>
      <c r="R384">
        <v>1858.72</v>
      </c>
      <c r="S384">
        <v>2175.88</v>
      </c>
      <c r="T384">
        <v>272</v>
      </c>
      <c r="U384">
        <v>5285.57</v>
      </c>
      <c r="V384">
        <v>281.08</v>
      </c>
      <c r="W384">
        <v>5004.49</v>
      </c>
      <c r="X384">
        <v>1988.82</v>
      </c>
      <c r="Y384" t="s">
        <v>47</v>
      </c>
      <c r="Z384">
        <v>2175.88</v>
      </c>
      <c r="AA384">
        <v>317.16000000000008</v>
      </c>
    </row>
    <row r="385" spans="1:27" x14ac:dyDescent="0.3">
      <c r="A385" t="s">
        <v>928</v>
      </c>
      <c r="B385" s="1">
        <v>45026</v>
      </c>
      <c r="C385" t="s">
        <v>128</v>
      </c>
      <c r="D385" t="s">
        <v>255</v>
      </c>
      <c r="E385">
        <v>4</v>
      </c>
      <c r="F385" t="s">
        <v>90</v>
      </c>
      <c r="G385">
        <v>20</v>
      </c>
      <c r="H385" t="s">
        <v>130</v>
      </c>
      <c r="I385" t="s">
        <v>30</v>
      </c>
      <c r="J385">
        <v>36</v>
      </c>
      <c r="K385" t="s">
        <v>65</v>
      </c>
      <c r="L385" t="s">
        <v>81</v>
      </c>
      <c r="M385" s="1">
        <v>44599</v>
      </c>
      <c r="N385" t="s">
        <v>54</v>
      </c>
      <c r="O385" t="s">
        <v>256</v>
      </c>
      <c r="P385" t="s">
        <v>110</v>
      </c>
      <c r="Q385" t="s">
        <v>36</v>
      </c>
      <c r="R385">
        <v>1637.53</v>
      </c>
      <c r="S385">
        <v>1892.5</v>
      </c>
      <c r="T385">
        <v>169</v>
      </c>
      <c r="U385">
        <v>2502.5300000000002</v>
      </c>
      <c r="V385">
        <v>563.16999999999996</v>
      </c>
      <c r="W385">
        <v>1939.36</v>
      </c>
      <c r="X385">
        <v>2563.5</v>
      </c>
      <c r="Y385" t="s">
        <v>83</v>
      </c>
      <c r="Z385">
        <v>7570</v>
      </c>
      <c r="AA385">
        <v>1019.8800000000001</v>
      </c>
    </row>
    <row r="386" spans="1:27" x14ac:dyDescent="0.3">
      <c r="A386" t="s">
        <v>929</v>
      </c>
      <c r="B386" s="1">
        <v>45063</v>
      </c>
      <c r="C386" t="s">
        <v>646</v>
      </c>
      <c r="D386" t="s">
        <v>230</v>
      </c>
      <c r="E386">
        <v>5</v>
      </c>
      <c r="F386" t="s">
        <v>51</v>
      </c>
      <c r="G386">
        <v>5</v>
      </c>
      <c r="H386" t="s">
        <v>647</v>
      </c>
      <c r="I386" t="s">
        <v>30</v>
      </c>
      <c r="J386">
        <v>42</v>
      </c>
      <c r="K386" t="s">
        <v>92</v>
      </c>
      <c r="L386" t="s">
        <v>53</v>
      </c>
      <c r="M386" s="1">
        <v>45086</v>
      </c>
      <c r="N386" t="s">
        <v>33</v>
      </c>
      <c r="O386" t="s">
        <v>232</v>
      </c>
      <c r="P386" t="s">
        <v>110</v>
      </c>
      <c r="Q386" t="s">
        <v>46</v>
      </c>
      <c r="R386">
        <v>4570.75</v>
      </c>
      <c r="S386">
        <v>5891.26</v>
      </c>
      <c r="T386">
        <v>285</v>
      </c>
      <c r="U386">
        <v>2225.5700000000002</v>
      </c>
      <c r="V386">
        <v>305.82</v>
      </c>
      <c r="W386">
        <v>1919.75</v>
      </c>
      <c r="X386">
        <v>2176.66</v>
      </c>
      <c r="Y386" t="s">
        <v>56</v>
      </c>
      <c r="Z386">
        <v>29456.300000000003</v>
      </c>
      <c r="AA386">
        <v>6602.5500000000011</v>
      </c>
    </row>
    <row r="387" spans="1:27" x14ac:dyDescent="0.3">
      <c r="A387" t="s">
        <v>930</v>
      </c>
      <c r="B387" s="1">
        <v>45169</v>
      </c>
      <c r="C387" t="s">
        <v>353</v>
      </c>
      <c r="D387" t="s">
        <v>329</v>
      </c>
      <c r="E387">
        <v>4</v>
      </c>
      <c r="F387" t="s">
        <v>28</v>
      </c>
      <c r="G387">
        <v>1</v>
      </c>
      <c r="H387" t="s">
        <v>355</v>
      </c>
      <c r="I387" t="s">
        <v>80</v>
      </c>
      <c r="J387">
        <v>28</v>
      </c>
      <c r="K387" t="s">
        <v>42</v>
      </c>
      <c r="L387" t="s">
        <v>43</v>
      </c>
      <c r="M387" s="1">
        <v>44997</v>
      </c>
      <c r="N387" t="s">
        <v>33</v>
      </c>
      <c r="O387" t="s">
        <v>330</v>
      </c>
      <c r="P387" t="s">
        <v>94</v>
      </c>
      <c r="Q387" t="s">
        <v>46</v>
      </c>
      <c r="R387">
        <v>3358.26</v>
      </c>
      <c r="S387">
        <v>4345.1099999999997</v>
      </c>
      <c r="T387">
        <v>179</v>
      </c>
      <c r="U387">
        <v>863.95</v>
      </c>
      <c r="V387">
        <v>29.43</v>
      </c>
      <c r="W387">
        <v>834.52</v>
      </c>
      <c r="X387">
        <v>2286.5</v>
      </c>
      <c r="Y387" t="s">
        <v>56</v>
      </c>
      <c r="Z387">
        <v>17380.439999999999</v>
      </c>
      <c r="AA387">
        <v>3947.3999999999978</v>
      </c>
    </row>
    <row r="388" spans="1:27" x14ac:dyDescent="0.3">
      <c r="A388" t="s">
        <v>931</v>
      </c>
      <c r="B388" s="1">
        <v>45052</v>
      </c>
      <c r="C388" t="s">
        <v>729</v>
      </c>
      <c r="D388" t="s">
        <v>202</v>
      </c>
      <c r="E388">
        <v>2</v>
      </c>
      <c r="F388" t="s">
        <v>51</v>
      </c>
      <c r="G388">
        <v>22</v>
      </c>
      <c r="H388" t="s">
        <v>730</v>
      </c>
      <c r="I388" t="s">
        <v>80</v>
      </c>
      <c r="J388">
        <v>41</v>
      </c>
      <c r="K388" t="s">
        <v>31</v>
      </c>
      <c r="L388" t="s">
        <v>43</v>
      </c>
      <c r="M388" s="1">
        <v>45504</v>
      </c>
      <c r="N388" t="s">
        <v>54</v>
      </c>
      <c r="O388" t="s">
        <v>204</v>
      </c>
      <c r="P388" t="s">
        <v>110</v>
      </c>
      <c r="Q388" t="s">
        <v>111</v>
      </c>
      <c r="R388">
        <v>830.87</v>
      </c>
      <c r="S388">
        <v>1283.0999999999999</v>
      </c>
      <c r="T388">
        <v>46</v>
      </c>
      <c r="U388">
        <v>5225.0600000000004</v>
      </c>
      <c r="V388">
        <v>92.46</v>
      </c>
      <c r="W388">
        <v>5132.6000000000004</v>
      </c>
      <c r="X388">
        <v>3724.93</v>
      </c>
      <c r="Y388" t="s">
        <v>37</v>
      </c>
      <c r="Z388">
        <v>2566.1999999999998</v>
      </c>
      <c r="AA388">
        <v>904.45999999999981</v>
      </c>
    </row>
    <row r="389" spans="1:27" x14ac:dyDescent="0.3">
      <c r="A389" t="s">
        <v>932</v>
      </c>
      <c r="B389" s="1">
        <v>45117</v>
      </c>
      <c r="C389" t="s">
        <v>741</v>
      </c>
      <c r="D389" t="s">
        <v>393</v>
      </c>
      <c r="E389">
        <v>3</v>
      </c>
      <c r="F389" t="s">
        <v>28</v>
      </c>
      <c r="G389">
        <v>16</v>
      </c>
      <c r="H389" t="s">
        <v>742</v>
      </c>
      <c r="I389" t="s">
        <v>30</v>
      </c>
      <c r="J389">
        <v>23</v>
      </c>
      <c r="K389" t="s">
        <v>53</v>
      </c>
      <c r="L389" t="s">
        <v>66</v>
      </c>
      <c r="M389" s="1">
        <v>44877</v>
      </c>
      <c r="N389" t="s">
        <v>54</v>
      </c>
      <c r="O389" t="s">
        <v>395</v>
      </c>
      <c r="P389" t="s">
        <v>35</v>
      </c>
      <c r="Q389" t="s">
        <v>111</v>
      </c>
      <c r="R389">
        <v>4793.34</v>
      </c>
      <c r="S389">
        <v>7058.65</v>
      </c>
      <c r="T389">
        <v>107</v>
      </c>
      <c r="U389">
        <v>11353.17</v>
      </c>
      <c r="V389">
        <v>2824.84</v>
      </c>
      <c r="W389">
        <v>8528.33</v>
      </c>
      <c r="X389">
        <v>2041.09</v>
      </c>
      <c r="Y389" t="s">
        <v>47</v>
      </c>
      <c r="Z389">
        <v>21175.949999999997</v>
      </c>
      <c r="AA389">
        <v>6795.9299999999985</v>
      </c>
    </row>
    <row r="390" spans="1:27" x14ac:dyDescent="0.3">
      <c r="A390" t="s">
        <v>933</v>
      </c>
      <c r="B390" s="1">
        <v>45234</v>
      </c>
      <c r="C390" t="s">
        <v>332</v>
      </c>
      <c r="D390" t="s">
        <v>40</v>
      </c>
      <c r="E390">
        <v>4</v>
      </c>
      <c r="F390" t="s">
        <v>90</v>
      </c>
      <c r="G390">
        <v>21</v>
      </c>
      <c r="H390" t="s">
        <v>333</v>
      </c>
      <c r="I390" t="s">
        <v>30</v>
      </c>
      <c r="J390">
        <v>20</v>
      </c>
      <c r="K390" t="s">
        <v>92</v>
      </c>
      <c r="L390" t="s">
        <v>32</v>
      </c>
      <c r="M390" s="1">
        <v>44792</v>
      </c>
      <c r="N390" t="s">
        <v>54</v>
      </c>
      <c r="O390" t="s">
        <v>45</v>
      </c>
      <c r="P390" t="s">
        <v>35</v>
      </c>
      <c r="Q390" t="s">
        <v>46</v>
      </c>
      <c r="R390">
        <v>1093.9000000000001</v>
      </c>
      <c r="S390">
        <v>1507.34</v>
      </c>
      <c r="T390">
        <v>11</v>
      </c>
      <c r="U390">
        <v>3454.95</v>
      </c>
      <c r="V390">
        <v>398.25</v>
      </c>
      <c r="W390">
        <v>3056.7</v>
      </c>
      <c r="X390">
        <v>195.93</v>
      </c>
      <c r="Y390" t="s">
        <v>37</v>
      </c>
      <c r="Z390">
        <v>6029.36</v>
      </c>
      <c r="AA390">
        <v>1653.7599999999993</v>
      </c>
    </row>
    <row r="391" spans="1:27" x14ac:dyDescent="0.3">
      <c r="A391" t="s">
        <v>934</v>
      </c>
      <c r="B391" s="1">
        <v>45088</v>
      </c>
      <c r="C391" t="s">
        <v>935</v>
      </c>
      <c r="D391" t="s">
        <v>259</v>
      </c>
      <c r="E391">
        <v>3</v>
      </c>
      <c r="F391" t="s">
        <v>78</v>
      </c>
      <c r="G391">
        <v>25</v>
      </c>
      <c r="H391" t="s">
        <v>936</v>
      </c>
      <c r="I391" t="s">
        <v>80</v>
      </c>
      <c r="J391">
        <v>53</v>
      </c>
      <c r="K391" t="s">
        <v>65</v>
      </c>
      <c r="L391" t="s">
        <v>81</v>
      </c>
      <c r="M391" s="1">
        <v>45202</v>
      </c>
      <c r="N391" t="s">
        <v>44</v>
      </c>
      <c r="O391" t="s">
        <v>261</v>
      </c>
      <c r="P391" t="s">
        <v>94</v>
      </c>
      <c r="Q391" t="s">
        <v>111</v>
      </c>
      <c r="R391">
        <v>4426.51</v>
      </c>
      <c r="S391">
        <v>5123.7299999999996</v>
      </c>
      <c r="T391">
        <v>298</v>
      </c>
      <c r="U391">
        <v>9421.7099999999991</v>
      </c>
      <c r="V391">
        <v>1616.2</v>
      </c>
      <c r="W391">
        <v>7805.51</v>
      </c>
      <c r="X391">
        <v>1181.01</v>
      </c>
      <c r="Y391" t="s">
        <v>47</v>
      </c>
      <c r="Z391">
        <v>15371.189999999999</v>
      </c>
      <c r="AA391">
        <v>2091.659999999998</v>
      </c>
    </row>
    <row r="392" spans="1:27" x14ac:dyDescent="0.3">
      <c r="A392" t="s">
        <v>937</v>
      </c>
      <c r="B392" s="1">
        <v>44952</v>
      </c>
      <c r="C392" t="s">
        <v>611</v>
      </c>
      <c r="D392" t="s">
        <v>102</v>
      </c>
      <c r="E392">
        <v>3</v>
      </c>
      <c r="F392" t="s">
        <v>28</v>
      </c>
      <c r="G392">
        <v>17</v>
      </c>
      <c r="H392" t="s">
        <v>612</v>
      </c>
      <c r="I392" t="s">
        <v>80</v>
      </c>
      <c r="J392">
        <v>26</v>
      </c>
      <c r="K392" t="s">
        <v>73</v>
      </c>
      <c r="L392" t="s">
        <v>108</v>
      </c>
      <c r="M392" s="1">
        <v>45239</v>
      </c>
      <c r="N392" t="s">
        <v>33</v>
      </c>
      <c r="O392" t="s">
        <v>103</v>
      </c>
      <c r="P392" t="s">
        <v>94</v>
      </c>
      <c r="Q392" t="s">
        <v>46</v>
      </c>
      <c r="R392">
        <v>4398.43</v>
      </c>
      <c r="S392">
        <v>6683.28</v>
      </c>
      <c r="T392">
        <v>152</v>
      </c>
      <c r="U392">
        <v>15590.3</v>
      </c>
      <c r="V392">
        <v>3050</v>
      </c>
      <c r="W392">
        <v>12540.3</v>
      </c>
      <c r="X392">
        <v>4044.25</v>
      </c>
      <c r="Y392" t="s">
        <v>83</v>
      </c>
      <c r="Z392">
        <v>20049.84</v>
      </c>
      <c r="AA392">
        <v>6854.5499999999984</v>
      </c>
    </row>
    <row r="393" spans="1:27" x14ac:dyDescent="0.3">
      <c r="A393" t="s">
        <v>938</v>
      </c>
      <c r="B393" s="1">
        <v>44977</v>
      </c>
      <c r="C393" t="s">
        <v>624</v>
      </c>
      <c r="D393" t="s">
        <v>153</v>
      </c>
      <c r="E393">
        <v>5</v>
      </c>
      <c r="F393" t="s">
        <v>78</v>
      </c>
      <c r="G393">
        <v>25</v>
      </c>
      <c r="H393" t="s">
        <v>625</v>
      </c>
      <c r="I393" t="s">
        <v>30</v>
      </c>
      <c r="J393">
        <v>39</v>
      </c>
      <c r="K393" t="s">
        <v>92</v>
      </c>
      <c r="L393" t="s">
        <v>32</v>
      </c>
      <c r="M393" s="1">
        <v>45728</v>
      </c>
      <c r="N393" t="s">
        <v>44</v>
      </c>
      <c r="O393" t="s">
        <v>156</v>
      </c>
      <c r="P393" t="s">
        <v>35</v>
      </c>
      <c r="Q393" t="s">
        <v>36</v>
      </c>
      <c r="R393">
        <v>2340.46</v>
      </c>
      <c r="S393">
        <v>2600.46</v>
      </c>
      <c r="T393">
        <v>245</v>
      </c>
      <c r="U393">
        <v>12765.81</v>
      </c>
      <c r="V393">
        <v>874.28</v>
      </c>
      <c r="W393">
        <v>11891.53</v>
      </c>
      <c r="X393">
        <v>1909.71</v>
      </c>
      <c r="Y393" t="s">
        <v>47</v>
      </c>
      <c r="Z393">
        <v>13002.3</v>
      </c>
      <c r="AA393">
        <v>1300</v>
      </c>
    </row>
    <row r="394" spans="1:27" x14ac:dyDescent="0.3">
      <c r="A394" t="s">
        <v>939</v>
      </c>
      <c r="B394" s="1">
        <v>44961</v>
      </c>
      <c r="C394" t="s">
        <v>940</v>
      </c>
      <c r="D394" t="s">
        <v>230</v>
      </c>
      <c r="E394">
        <v>6</v>
      </c>
      <c r="F394" t="s">
        <v>90</v>
      </c>
      <c r="G394">
        <v>24</v>
      </c>
      <c r="H394" t="s">
        <v>941</v>
      </c>
      <c r="I394" t="s">
        <v>30</v>
      </c>
      <c r="J394">
        <v>49</v>
      </c>
      <c r="K394" t="s">
        <v>31</v>
      </c>
      <c r="L394" t="s">
        <v>81</v>
      </c>
      <c r="M394" s="1">
        <v>45645</v>
      </c>
      <c r="N394" t="s">
        <v>33</v>
      </c>
      <c r="O394" t="s">
        <v>232</v>
      </c>
      <c r="P394" t="s">
        <v>110</v>
      </c>
      <c r="Q394" t="s">
        <v>46</v>
      </c>
      <c r="R394">
        <v>4570.75</v>
      </c>
      <c r="S394">
        <v>5891.26</v>
      </c>
      <c r="T394">
        <v>285</v>
      </c>
      <c r="U394">
        <v>16513.5</v>
      </c>
      <c r="V394">
        <v>2340.29</v>
      </c>
      <c r="W394">
        <v>14173.21</v>
      </c>
      <c r="X394">
        <v>4682.4399999999996</v>
      </c>
      <c r="Y394" t="s">
        <v>83</v>
      </c>
      <c r="Z394">
        <v>35347.56</v>
      </c>
      <c r="AA394">
        <v>7923.0600000000013</v>
      </c>
    </row>
    <row r="395" spans="1:27" x14ac:dyDescent="0.3">
      <c r="A395" t="s">
        <v>942</v>
      </c>
      <c r="B395" s="1">
        <v>45092</v>
      </c>
      <c r="C395" t="s">
        <v>218</v>
      </c>
      <c r="D395" t="s">
        <v>122</v>
      </c>
      <c r="E395">
        <v>1</v>
      </c>
      <c r="F395" t="s">
        <v>90</v>
      </c>
      <c r="G395">
        <v>25</v>
      </c>
      <c r="H395" t="s">
        <v>220</v>
      </c>
      <c r="I395" t="s">
        <v>30</v>
      </c>
      <c r="J395">
        <v>33</v>
      </c>
      <c r="K395" t="s">
        <v>92</v>
      </c>
      <c r="L395" t="s">
        <v>53</v>
      </c>
      <c r="M395" s="1">
        <v>45305</v>
      </c>
      <c r="N395" t="s">
        <v>33</v>
      </c>
      <c r="O395" t="s">
        <v>123</v>
      </c>
      <c r="P395" t="s">
        <v>68</v>
      </c>
      <c r="Q395" t="s">
        <v>46</v>
      </c>
      <c r="R395">
        <v>1480.33</v>
      </c>
      <c r="S395">
        <v>1709.3</v>
      </c>
      <c r="T395">
        <v>229</v>
      </c>
      <c r="U395">
        <v>17792.740000000002</v>
      </c>
      <c r="V395">
        <v>3294.94</v>
      </c>
      <c r="W395">
        <v>14497.8</v>
      </c>
      <c r="X395">
        <v>986.03</v>
      </c>
      <c r="Y395" t="s">
        <v>47</v>
      </c>
      <c r="Z395">
        <v>1709.3</v>
      </c>
      <c r="AA395">
        <v>228.97000000000003</v>
      </c>
    </row>
    <row r="396" spans="1:27" x14ac:dyDescent="0.3">
      <c r="A396" t="s">
        <v>943</v>
      </c>
      <c r="B396" s="1">
        <v>45098</v>
      </c>
      <c r="C396" t="s">
        <v>772</v>
      </c>
      <c r="D396" t="s">
        <v>223</v>
      </c>
      <c r="E396">
        <v>3</v>
      </c>
      <c r="F396" t="s">
        <v>51</v>
      </c>
      <c r="G396">
        <v>14</v>
      </c>
      <c r="H396" t="s">
        <v>773</v>
      </c>
      <c r="I396" t="s">
        <v>30</v>
      </c>
      <c r="J396">
        <v>37</v>
      </c>
      <c r="K396" t="s">
        <v>42</v>
      </c>
      <c r="L396" t="s">
        <v>81</v>
      </c>
      <c r="M396" s="1">
        <v>45724</v>
      </c>
      <c r="N396" t="s">
        <v>33</v>
      </c>
      <c r="O396" t="s">
        <v>224</v>
      </c>
      <c r="P396" t="s">
        <v>35</v>
      </c>
      <c r="Q396" t="s">
        <v>111</v>
      </c>
      <c r="R396">
        <v>3470.49</v>
      </c>
      <c r="S396">
        <v>5407.89</v>
      </c>
      <c r="T396">
        <v>141</v>
      </c>
      <c r="U396">
        <v>5532.84</v>
      </c>
      <c r="V396">
        <v>1196.22</v>
      </c>
      <c r="W396">
        <v>4336.62</v>
      </c>
      <c r="X396">
        <v>3192.59</v>
      </c>
      <c r="Y396" t="s">
        <v>56</v>
      </c>
      <c r="Z396">
        <v>16223.670000000002</v>
      </c>
      <c r="AA396">
        <v>5812.2000000000016</v>
      </c>
    </row>
    <row r="397" spans="1:27" x14ac:dyDescent="0.3">
      <c r="A397" t="s">
        <v>944</v>
      </c>
      <c r="B397" s="1">
        <v>45087</v>
      </c>
      <c r="C397" t="s">
        <v>715</v>
      </c>
      <c r="D397" t="s">
        <v>106</v>
      </c>
      <c r="E397">
        <v>6</v>
      </c>
      <c r="F397" t="s">
        <v>51</v>
      </c>
      <c r="G397">
        <v>25</v>
      </c>
      <c r="H397" t="s">
        <v>716</v>
      </c>
      <c r="I397" t="s">
        <v>80</v>
      </c>
      <c r="J397">
        <v>31</v>
      </c>
      <c r="K397" t="s">
        <v>92</v>
      </c>
      <c r="L397" t="s">
        <v>81</v>
      </c>
      <c r="M397" s="1">
        <v>45660</v>
      </c>
      <c r="N397" t="s">
        <v>33</v>
      </c>
      <c r="O397" t="s">
        <v>109</v>
      </c>
      <c r="P397" t="s">
        <v>110</v>
      </c>
      <c r="Q397" t="s">
        <v>111</v>
      </c>
      <c r="R397">
        <v>1622.17</v>
      </c>
      <c r="S397">
        <v>1993.72</v>
      </c>
      <c r="T397">
        <v>262</v>
      </c>
      <c r="U397">
        <v>14906.42</v>
      </c>
      <c r="V397">
        <v>927.71</v>
      </c>
      <c r="W397">
        <v>13978.71</v>
      </c>
      <c r="X397">
        <v>2506.46</v>
      </c>
      <c r="Y397" t="s">
        <v>56</v>
      </c>
      <c r="Z397">
        <v>11962.32</v>
      </c>
      <c r="AA397">
        <v>2229.2999999999997</v>
      </c>
    </row>
    <row r="398" spans="1:27" x14ac:dyDescent="0.3">
      <c r="A398" t="s">
        <v>945</v>
      </c>
      <c r="B398" s="1">
        <v>45010</v>
      </c>
      <c r="C398" t="s">
        <v>741</v>
      </c>
      <c r="D398" t="s">
        <v>98</v>
      </c>
      <c r="E398">
        <v>4</v>
      </c>
      <c r="F398" t="s">
        <v>51</v>
      </c>
      <c r="G398">
        <v>7</v>
      </c>
      <c r="H398" t="s">
        <v>742</v>
      </c>
      <c r="I398" t="s">
        <v>30</v>
      </c>
      <c r="J398">
        <v>23</v>
      </c>
      <c r="K398" t="s">
        <v>53</v>
      </c>
      <c r="L398" t="s">
        <v>66</v>
      </c>
      <c r="M398" s="1">
        <v>44877</v>
      </c>
      <c r="N398" t="s">
        <v>54</v>
      </c>
      <c r="O398" t="s">
        <v>100</v>
      </c>
      <c r="P398" t="s">
        <v>94</v>
      </c>
      <c r="Q398" t="s">
        <v>36</v>
      </c>
      <c r="R398">
        <v>4225.4799999999996</v>
      </c>
      <c r="S398">
        <v>6100.15</v>
      </c>
      <c r="T398">
        <v>279</v>
      </c>
      <c r="U398">
        <v>11771.65</v>
      </c>
      <c r="V398">
        <v>1888.88</v>
      </c>
      <c r="W398">
        <v>9882.77</v>
      </c>
      <c r="X398">
        <v>2947.48</v>
      </c>
      <c r="Y398" t="s">
        <v>37</v>
      </c>
      <c r="Z398">
        <v>24400.6</v>
      </c>
      <c r="AA398">
        <v>7498.68</v>
      </c>
    </row>
    <row r="399" spans="1:27" x14ac:dyDescent="0.3">
      <c r="A399" t="s">
        <v>946</v>
      </c>
      <c r="B399" s="1">
        <v>45175</v>
      </c>
      <c r="C399" t="s">
        <v>947</v>
      </c>
      <c r="D399" t="s">
        <v>102</v>
      </c>
      <c r="E399">
        <v>2</v>
      </c>
      <c r="F399" t="s">
        <v>90</v>
      </c>
      <c r="G399">
        <v>25</v>
      </c>
      <c r="H399" t="s">
        <v>948</v>
      </c>
      <c r="I399" t="s">
        <v>80</v>
      </c>
      <c r="J399">
        <v>52</v>
      </c>
      <c r="K399" t="s">
        <v>92</v>
      </c>
      <c r="L399" t="s">
        <v>32</v>
      </c>
      <c r="M399" s="1">
        <v>44716</v>
      </c>
      <c r="N399" t="s">
        <v>44</v>
      </c>
      <c r="O399" t="s">
        <v>103</v>
      </c>
      <c r="P399" t="s">
        <v>94</v>
      </c>
      <c r="Q399" t="s">
        <v>46</v>
      </c>
      <c r="R399">
        <v>4398.43</v>
      </c>
      <c r="S399">
        <v>6683.28</v>
      </c>
      <c r="T399">
        <v>152</v>
      </c>
      <c r="U399">
        <v>16800.75</v>
      </c>
      <c r="V399">
        <v>268.83999999999997</v>
      </c>
      <c r="W399">
        <v>16531.91</v>
      </c>
      <c r="X399">
        <v>2561.7199999999998</v>
      </c>
      <c r="Y399" t="s">
        <v>47</v>
      </c>
      <c r="Z399">
        <v>13366.56</v>
      </c>
      <c r="AA399">
        <v>4569.6999999999989</v>
      </c>
    </row>
    <row r="400" spans="1:27" x14ac:dyDescent="0.3">
      <c r="A400" t="s">
        <v>949</v>
      </c>
      <c r="B400" s="1">
        <v>45166</v>
      </c>
      <c r="C400" t="s">
        <v>544</v>
      </c>
      <c r="D400" t="s">
        <v>287</v>
      </c>
      <c r="E400">
        <v>3</v>
      </c>
      <c r="F400" t="s">
        <v>78</v>
      </c>
      <c r="G400">
        <v>10</v>
      </c>
      <c r="H400" t="s">
        <v>545</v>
      </c>
      <c r="I400" t="s">
        <v>30</v>
      </c>
      <c r="J400">
        <v>24</v>
      </c>
      <c r="K400" t="s">
        <v>60</v>
      </c>
      <c r="L400" t="s">
        <v>32</v>
      </c>
      <c r="M400" s="1">
        <v>44885</v>
      </c>
      <c r="N400" t="s">
        <v>33</v>
      </c>
      <c r="O400" t="s">
        <v>288</v>
      </c>
      <c r="P400" t="s">
        <v>68</v>
      </c>
      <c r="Q400" t="s">
        <v>46</v>
      </c>
      <c r="R400">
        <v>2345.7800000000002</v>
      </c>
      <c r="S400">
        <v>2891.96</v>
      </c>
      <c r="T400">
        <v>122</v>
      </c>
      <c r="U400">
        <v>18948.099999999999</v>
      </c>
      <c r="V400">
        <v>272.26</v>
      </c>
      <c r="W400">
        <v>18675.84</v>
      </c>
      <c r="X400">
        <v>3627.56</v>
      </c>
      <c r="Y400" t="s">
        <v>56</v>
      </c>
      <c r="Z400">
        <v>8675.880000000001</v>
      </c>
      <c r="AA400">
        <v>1638.5399999999995</v>
      </c>
    </row>
    <row r="401" spans="1:27" x14ac:dyDescent="0.3">
      <c r="A401" t="s">
        <v>950</v>
      </c>
      <c r="B401" s="1">
        <v>45275</v>
      </c>
      <c r="C401" t="s">
        <v>951</v>
      </c>
      <c r="D401" t="s">
        <v>77</v>
      </c>
      <c r="E401">
        <v>5</v>
      </c>
      <c r="F401" t="s">
        <v>28</v>
      </c>
      <c r="G401">
        <v>21</v>
      </c>
      <c r="H401" t="s">
        <v>952</v>
      </c>
      <c r="I401" t="s">
        <v>30</v>
      </c>
      <c r="J401">
        <v>54</v>
      </c>
      <c r="K401" t="s">
        <v>73</v>
      </c>
      <c r="L401" t="s">
        <v>53</v>
      </c>
      <c r="M401" s="1">
        <v>45663</v>
      </c>
      <c r="N401" t="s">
        <v>33</v>
      </c>
      <c r="O401" t="s">
        <v>82</v>
      </c>
      <c r="P401" t="s">
        <v>35</v>
      </c>
      <c r="Q401" t="s">
        <v>46</v>
      </c>
      <c r="R401">
        <v>1607.82</v>
      </c>
      <c r="S401">
        <v>2197.14</v>
      </c>
      <c r="T401">
        <v>27</v>
      </c>
      <c r="U401">
        <v>7953.94</v>
      </c>
      <c r="V401">
        <v>785.17</v>
      </c>
      <c r="W401">
        <v>7168.77</v>
      </c>
      <c r="X401">
        <v>1355.54</v>
      </c>
      <c r="Y401" t="s">
        <v>37</v>
      </c>
      <c r="Z401">
        <v>10985.699999999999</v>
      </c>
      <c r="AA401">
        <v>2946.5999999999995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E09D-6C0A-43FC-8DE3-8AD9E318B71F}">
  <sheetPr codeName="Sheet8"/>
  <dimension ref="A3:D7"/>
  <sheetViews>
    <sheetView workbookViewId="0">
      <selection activeCell="G11" sqref="G11"/>
    </sheetView>
  </sheetViews>
  <sheetFormatPr defaultRowHeight="14.4" x14ac:dyDescent="0.3"/>
  <cols>
    <col min="1" max="1" width="12.44140625" bestFit="1" customWidth="1"/>
    <col min="2" max="2" width="15.88671875" bestFit="1" customWidth="1"/>
    <col min="3" max="3" width="11.5546875" bestFit="1" customWidth="1"/>
  </cols>
  <sheetData>
    <row r="3" spans="1:4" x14ac:dyDescent="0.3">
      <c r="A3" s="2" t="s">
        <v>953</v>
      </c>
      <c r="B3" t="s">
        <v>980</v>
      </c>
      <c r="C3" t="s">
        <v>968</v>
      </c>
    </row>
    <row r="4" spans="1:4" x14ac:dyDescent="0.3">
      <c r="A4" s="3" t="s">
        <v>33</v>
      </c>
      <c r="B4" s="6">
        <v>1805269.9999999991</v>
      </c>
      <c r="C4" s="6">
        <v>336221.67999999993</v>
      </c>
    </row>
    <row r="5" spans="1:4" x14ac:dyDescent="0.3">
      <c r="A5" s="3" t="s">
        <v>44</v>
      </c>
      <c r="B5" s="6">
        <v>1791841.929999999</v>
      </c>
      <c r="C5" s="6">
        <v>356046.9600000002</v>
      </c>
    </row>
    <row r="6" spans="1:4" x14ac:dyDescent="0.3">
      <c r="A6" s="3" t="s">
        <v>54</v>
      </c>
      <c r="B6" s="6">
        <v>1793099.75</v>
      </c>
      <c r="C6" s="6">
        <v>305023.04999999993</v>
      </c>
      <c r="D6" t="s">
        <v>977</v>
      </c>
    </row>
    <row r="7" spans="1:4" x14ac:dyDescent="0.3">
      <c r="A7" s="3" t="s">
        <v>954</v>
      </c>
      <c r="B7" s="6">
        <v>5390211.6799999978</v>
      </c>
      <c r="C7" s="6">
        <v>997291.69000000006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CFBE-5473-4F43-9187-E77C31511F7F}">
  <sheetPr codeName="Sheet9">
    <pageSetUpPr fitToPage="1"/>
  </sheetPr>
  <dimension ref="T9:AF9"/>
  <sheetViews>
    <sheetView showGridLines="0" tabSelected="1" zoomScale="80" zoomScaleNormal="100" workbookViewId="0">
      <selection activeCell="AB24" sqref="AB24"/>
    </sheetView>
  </sheetViews>
  <sheetFormatPr defaultRowHeight="14.4" x14ac:dyDescent="0.3"/>
  <cols>
    <col min="1" max="1" width="10.33203125" customWidth="1"/>
    <col min="2" max="27" width="8.88671875" customWidth="1"/>
  </cols>
  <sheetData>
    <row r="9" spans="20:20" x14ac:dyDescent="0.3">
      <c r="T9" t="s">
        <v>983</v>
      </c>
    </row>
  </sheetData>
  <pageMargins left="0.7" right="0.7" top="0.75" bottom="0.75" header="0.3" footer="0.3"/>
  <pageSetup scale="3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29AC96-906E-40F5-8879-FA2E3C3A58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Sheet2</vt:lpstr>
      <vt:lpstr>Sheet3</vt:lpstr>
      <vt:lpstr>Sheet4</vt:lpstr>
      <vt:lpstr>Sheet5</vt:lpstr>
      <vt:lpstr>Sheet6</vt:lpstr>
      <vt:lpstr>Orders</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Sivganesan</dc:creator>
  <cp:lastModifiedBy>vasanth Sivganesan</cp:lastModifiedBy>
  <dcterms:created xsi:type="dcterms:W3CDTF">2026-02-24T16:35:06Z</dcterms:created>
  <dcterms:modified xsi:type="dcterms:W3CDTF">2026-03-06T13:21:07Z</dcterms:modified>
</cp:coreProperties>
</file>